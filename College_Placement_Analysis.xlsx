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ADD77276-A645-443F-BA95-80CEBF9592E7}" xr6:coauthVersionLast="47" xr6:coauthVersionMax="47" xr10:uidLastSave="{00000000-0000-0000-0000-000000000000}"/>
  <bookViews>
    <workbookView xWindow="-108" yWindow="-108" windowWidth="23256" windowHeight="12456" firstSheet="5" activeTab="7" xr2:uid="{DEA98668-176C-4C14-BBE9-164C139A87BA}"/>
  </bookViews>
  <sheets>
    <sheet name="Raw_Data" sheetId="1" r:id="rId1"/>
    <sheet name="Analysis_CGPA" sheetId="4" r:id="rId2"/>
    <sheet name="Analysis_Skills" sheetId="5" r:id="rId3"/>
    <sheet name="Internship" sheetId="6" r:id="rId4"/>
    <sheet name="Branch" sheetId="8" r:id="rId5"/>
    <sheet name="Dashboard" sheetId="9" r:id="rId6"/>
    <sheet name="Cleaned_Data" sheetId="2" r:id="rId7"/>
    <sheet name="Key Findings" sheetId="10" r:id="rId8"/>
  </sheets>
  <definedNames>
    <definedName name="Slicer_Branch">#N/A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9" l="1"/>
  <c r="F4" i="9"/>
  <c r="A4" i="9"/>
  <c r="E11" i="5"/>
  <c r="E16" i="5"/>
  <c r="E8" i="5"/>
  <c r="E15" i="5"/>
  <c r="E14" i="5"/>
  <c r="E6" i="5"/>
  <c r="E7" i="5"/>
  <c r="E9" i="5"/>
  <c r="E4" i="5"/>
  <c r="E5" i="5"/>
  <c r="E10" i="5"/>
  <c r="E13" i="5"/>
  <c r="E3" i="5"/>
  <c r="E12" i="5"/>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2" i="2"/>
</calcChain>
</file>

<file path=xl/sharedStrings.xml><?xml version="1.0" encoding="utf-8"?>
<sst xmlns="http://schemas.openxmlformats.org/spreadsheetml/2006/main" count="639" uniqueCount="196">
  <si>
    <t>Student_ID</t>
  </si>
  <si>
    <t>Branch</t>
  </si>
  <si>
    <t>CGPA</t>
  </si>
  <si>
    <t>Internships</t>
  </si>
  <si>
    <t>Skill_Count</t>
  </si>
  <si>
    <t>Skill_Names</t>
  </si>
  <si>
    <t>Placed</t>
  </si>
  <si>
    <t>Salary</t>
  </si>
  <si>
    <t>Company_Tier</t>
  </si>
  <si>
    <t>Offer_Count</t>
  </si>
  <si>
    <t>S001</t>
  </si>
  <si>
    <t>CSE</t>
  </si>
  <si>
    <t>Python|SQL|ML|DSA|Java|Tableau</t>
  </si>
  <si>
    <t>Yes</t>
  </si>
  <si>
    <t>Tier1</t>
  </si>
  <si>
    <t>S002</t>
  </si>
  <si>
    <t>Python|SQL|DSA|Java|React</t>
  </si>
  <si>
    <t>S003</t>
  </si>
  <si>
    <t>Java|DSA|C++</t>
  </si>
  <si>
    <t>Tier2</t>
  </si>
  <si>
    <t>S004</t>
  </si>
  <si>
    <t>Java|C++</t>
  </si>
  <si>
    <t>No</t>
  </si>
  <si>
    <t>None</t>
  </si>
  <si>
    <t>S005</t>
  </si>
  <si>
    <t>Python|ML|SQL|Tableau|Power BI|DSA</t>
  </si>
  <si>
    <t>S006</t>
  </si>
  <si>
    <t>C++</t>
  </si>
  <si>
    <t>S007</t>
  </si>
  <si>
    <t>Python|SQL|Java|DSA</t>
  </si>
  <si>
    <t>S008</t>
  </si>
  <si>
    <t>Python|ML|AI|SQL|DSA|Java|Cloud</t>
  </si>
  <si>
    <t>S009</t>
  </si>
  <si>
    <t>S010</t>
  </si>
  <si>
    <t>Python|SQL|DSA</t>
  </si>
  <si>
    <t>S011</t>
  </si>
  <si>
    <t>ECE</t>
  </si>
  <si>
    <t>Embedded|VLSI|C|Python</t>
  </si>
  <si>
    <t>S012</t>
  </si>
  <si>
    <t>Embedded|C|VLSI</t>
  </si>
  <si>
    <t>S013</t>
  </si>
  <si>
    <t>C|Electronics</t>
  </si>
  <si>
    <t>S014</t>
  </si>
  <si>
    <t>Python|Embedded|VLSI|IoT|C</t>
  </si>
  <si>
    <t>S015</t>
  </si>
  <si>
    <t>Electronics</t>
  </si>
  <si>
    <t>S016</t>
  </si>
  <si>
    <t>C|Python|Embedded</t>
  </si>
  <si>
    <t>S017</t>
  </si>
  <si>
    <t>VLSI|Embedded|Python|IoT|C</t>
  </si>
  <si>
    <t>S018</t>
  </si>
  <si>
    <t>S019</t>
  </si>
  <si>
    <t>Embedded|Python|C</t>
  </si>
  <si>
    <t>S020</t>
  </si>
  <si>
    <t>VLSI|Embedded|Python|IoT</t>
  </si>
  <si>
    <t>S021</t>
  </si>
  <si>
    <t>MECH</t>
  </si>
  <si>
    <t>AutoCAD|SolidWorks|MATLAB</t>
  </si>
  <si>
    <t>S022</t>
  </si>
  <si>
    <t>AutoCAD|MATLAB</t>
  </si>
  <si>
    <t>S023</t>
  </si>
  <si>
    <t>AutoCAD|SolidWorks|MATLAB|Python</t>
  </si>
  <si>
    <t>S024</t>
  </si>
  <si>
    <t>AutoCAD</t>
  </si>
  <si>
    <t>S025</t>
  </si>
  <si>
    <t>SolidWorks|MATLAB|AutoCAD</t>
  </si>
  <si>
    <t>S026</t>
  </si>
  <si>
    <t>AutoCAD|SolidWorks|Python|MATLAB</t>
  </si>
  <si>
    <t>S027</t>
  </si>
  <si>
    <t>S028</t>
  </si>
  <si>
    <t>Python|AutoCAD|SolidWorks|MATLAB|FEA</t>
  </si>
  <si>
    <t>S029</t>
  </si>
  <si>
    <t>AutoCAD|SolidWorks</t>
  </si>
  <si>
    <t>Tier3</t>
  </si>
  <si>
    <t>S030</t>
  </si>
  <si>
    <t>S031</t>
  </si>
  <si>
    <t>MBA</t>
  </si>
  <si>
    <t>Excel|PowerBI|SQL|Communication</t>
  </si>
  <si>
    <t>S032</t>
  </si>
  <si>
    <t>Excel|PowerBI|Communication</t>
  </si>
  <si>
    <t>S033</t>
  </si>
  <si>
    <t>Excel|Communication</t>
  </si>
  <si>
    <t>S034</t>
  </si>
  <si>
    <t>SQL|PowerBI|Excel|Tableau|Finance</t>
  </si>
  <si>
    <t>S035</t>
  </si>
  <si>
    <t>Excel|Finance|Communication</t>
  </si>
  <si>
    <t>S036</t>
  </si>
  <si>
    <t>SQL|PowerBI|Tableau|Excel|Finance|Strategy</t>
  </si>
  <si>
    <t>S037</t>
  </si>
  <si>
    <t>S038</t>
  </si>
  <si>
    <t>SQL|Excel|PowerBI|Finance</t>
  </si>
  <si>
    <t>S039</t>
  </si>
  <si>
    <t>Excel</t>
  </si>
  <si>
    <t>S040</t>
  </si>
  <si>
    <t>PowerBI|SQL|Tableau|Finance</t>
  </si>
  <si>
    <t>S041</t>
  </si>
  <si>
    <t>CIVIL</t>
  </si>
  <si>
    <t>AutoCAD|STAAD|Revit</t>
  </si>
  <si>
    <t>S042</t>
  </si>
  <si>
    <t>AutoCAD|STAAD</t>
  </si>
  <si>
    <t>S043</t>
  </si>
  <si>
    <t>AutoCAD|STAAD|Revit|Python</t>
  </si>
  <si>
    <t>S044</t>
  </si>
  <si>
    <t>S045</t>
  </si>
  <si>
    <t>STAAD|Revit|AutoCAD</t>
  </si>
  <si>
    <t>S046</t>
  </si>
  <si>
    <t>AutoCAD|STAAD|Revit|GIS</t>
  </si>
  <si>
    <t>S047</t>
  </si>
  <si>
    <t>S048</t>
  </si>
  <si>
    <t>Python|AutoCAD|STAAD|Revit|GIS</t>
  </si>
  <si>
    <t>S049</t>
  </si>
  <si>
    <t>AutoCAD|Revit</t>
  </si>
  <si>
    <t>S050</t>
  </si>
  <si>
    <t>CGPA_Category</t>
  </si>
  <si>
    <t>Internship_level</t>
  </si>
  <si>
    <t>Row Labels</t>
  </si>
  <si>
    <t>Average</t>
  </si>
  <si>
    <t>Below Average</t>
  </si>
  <si>
    <t>Excellent</t>
  </si>
  <si>
    <t>Good</t>
  </si>
  <si>
    <t>Outstanding</t>
  </si>
  <si>
    <t>Grand Total</t>
  </si>
  <si>
    <t>Column Labels</t>
  </si>
  <si>
    <t>Count of Student_ID</t>
  </si>
  <si>
    <t>Skill</t>
  </si>
  <si>
    <t>Students_With_Skill</t>
  </si>
  <si>
    <t>Avg_Salary_LPA</t>
  </si>
  <si>
    <t>Placement_Rate</t>
  </si>
  <si>
    <t>Python</t>
  </si>
  <si>
    <t>SQL</t>
  </si>
  <si>
    <t>ML/AI</t>
  </si>
  <si>
    <t>DSA</t>
  </si>
  <si>
    <t>Tableau</t>
  </si>
  <si>
    <t>Power BI</t>
  </si>
  <si>
    <t>Java</t>
  </si>
  <si>
    <t>Embedded</t>
  </si>
  <si>
    <t>VLSI</t>
  </si>
  <si>
    <t>SolidWorks</t>
  </si>
  <si>
    <t>Finance</t>
  </si>
  <si>
    <t>STAAD</t>
  </si>
  <si>
    <t>Overall Average Salary</t>
  </si>
  <si>
    <t>No Internship</t>
  </si>
  <si>
    <t>One Internship</t>
  </si>
  <si>
    <t>Three or More</t>
  </si>
  <si>
    <t>Two Internships</t>
  </si>
  <si>
    <t>Placment Rate</t>
  </si>
  <si>
    <t>Avg Offers</t>
  </si>
  <si>
    <t>Avg Salary</t>
  </si>
  <si>
    <t>Average of Salary</t>
  </si>
  <si>
    <t>Total</t>
  </si>
  <si>
    <t xml:space="preserve">Not Placed </t>
  </si>
  <si>
    <t>Placement%</t>
  </si>
  <si>
    <t>COLLEGE PLACEMENT ANALYSIS DASHBOARD  2026</t>
  </si>
  <si>
    <t>Total Students</t>
  </si>
  <si>
    <t>Placement Rate</t>
  </si>
  <si>
    <t>Avg Salary(LPA)</t>
  </si>
  <si>
    <t>Top Branch</t>
  </si>
  <si>
    <t>COLLEGE PLACEMENT ANALYSIS REPORT -2026</t>
  </si>
  <si>
    <t>Prepared by:KUNCHALA SRIVENKAT | Tool:Microsoft Excel | Dataset:50 Students | 5 Branches</t>
  </si>
  <si>
    <t>EXECUTIVE SUMMARY :</t>
  </si>
  <si>
    <t>This report analyzes placement data of 50 engineering and MBA students across 
5 branches — CSE, ECE, MECH, MBA, and CIVIL. The analysis covers 4 key areas: 
CGPA impact, skill value, internship effect, and branch-wise performance. 
Overall placement rate stands at 66% with an average salary of 8.33 LPA.</t>
  </si>
  <si>
    <t>KEY INSIGHT 1- CGPA VS PLACEMENT RATE</t>
  </si>
  <si>
    <t>Students with CGPA above 7.0 have significantly higher placement rates.
Below 7.0 CGPA → 0% placement rate
Above 8.0 CGPA → 90%+ placement rate
Critical threshold identified at 7.0 CGPA</t>
  </si>
  <si>
    <t>Recommendation:</t>
  </si>
  <si>
    <t>Students scoring below 7.0 CGPA must compensate through internships 
and skill development to remain competitive in placements.</t>
  </si>
  <si>
    <t>KEY INSIGHT 2- SKILLS VS SALARY PACKAGE</t>
  </si>
  <si>
    <t>ML/AI skills command highest salary at 14.5 LPA average
Tableau and Power BI follow at 11.2 and 10.8 LPA
Gap between highest skill (ML=14.5) and lowest (STAAD=5.5) is 9 LPA
Python is the most versatile skill across all branches</t>
  </si>
  <si>
    <t>Every student regardless of branch should learn Python as a base skill.
Adding one data visualization tool (Tableau/PowerBI) can increase 
salary by 3-5 LPA on average.</t>
  </si>
  <si>
    <t>KEY INSIGHT 3- INTERNSHIPS VS JOB OFFERS</t>
  </si>
  <si>
    <r>
      <rPr>
        <b/>
        <sz val="11"/>
        <color rgb="FFFF6600"/>
        <rFont val="Calibri"/>
        <family val="2"/>
        <scheme val="minor"/>
      </rPr>
      <t>Recommendation</t>
    </r>
    <r>
      <rPr>
        <sz val="11"/>
        <color rgb="FFFF6600"/>
        <rFont val="Calibri"/>
        <family val="2"/>
        <scheme val="minor"/>
      </rPr>
      <t>:</t>
    </r>
  </si>
  <si>
    <t>0 internships → only 6% placement rate
1 internship  → placement rate jumps to 92%
2+ internships → 100% placement guaranteed
Salary grows from 0 LPA to 11.2 LPA with 3 internships</t>
  </si>
  <si>
    <r>
      <rPr>
        <sz val="11"/>
        <color rgb="FFFF6600"/>
        <rFont val="Calibri"/>
        <family val="2"/>
        <scheme val="minor"/>
      </rPr>
      <t>Recommendation</t>
    </r>
    <r>
      <rPr>
        <sz val="11"/>
        <color theme="1"/>
        <rFont val="Calibri"/>
        <family val="2"/>
        <scheme val="minor"/>
      </rPr>
      <t>:</t>
    </r>
  </si>
  <si>
    <t>Internships are the single strongest predictor of placement success.
Even ONE internship increases placement chances by 15x.
College should make minimum 1 internship mandatory for all students.</t>
  </si>
  <si>
    <t>KEY INSIGHT 4- BRANCH WISE PLACEMENET ANALYSIS</t>
  </si>
  <si>
    <t>CSE leads with 80% placement rate and 9.2 LPA average salary
MBA second with 75% placement rate and 8.5 LPA average
CIVIL and MECH lowest at 60% placement rate
Salary gap between CSE (9.2 LPA) and CIVIL (5.8 LPA) = 3.4 LPA</t>
  </si>
  <si>
    <t>CIVIL and MECH students should actively pursue cross-domain skills 
like Python and data tools. CIVIL students with Python earn 
3-4 LPA more than those without it.</t>
  </si>
  <si>
    <t>Overall Recommendations Table</t>
  </si>
  <si>
    <t>Prioriy</t>
  </si>
  <si>
    <t xml:space="preserve">Action </t>
  </si>
  <si>
    <t>Expected Impact</t>
  </si>
  <si>
    <r>
      <rPr>
        <sz val="11"/>
        <color rgb="FFC00000"/>
        <rFont val="Calibri"/>
        <family val="2"/>
        <scheme val="minor"/>
      </rPr>
      <t>🔴</t>
    </r>
    <r>
      <rPr>
        <sz val="11"/>
        <color theme="1" tint="4.9989318521683403E-2"/>
        <rFont val="Calibri"/>
        <family val="2"/>
        <scheme val="minor"/>
      </rPr>
      <t xml:space="preserve"> High</t>
    </r>
  </si>
  <si>
    <t>Do minimum 1 internship</t>
  </si>
  <si>
    <t>Placement rate +70%</t>
  </si>
  <si>
    <t>Maintain CGPA above 7.0</t>
  </si>
  <si>
    <t>Placement rate +86%</t>
  </si>
  <si>
    <r>
      <t xml:space="preserve">🟡 </t>
    </r>
    <r>
      <rPr>
        <sz val="11"/>
        <color rgb="FF212121"/>
        <rFont val="Calibri"/>
        <family val="2"/>
        <scheme val="minor"/>
      </rPr>
      <t>Medium</t>
    </r>
  </si>
  <si>
    <t>Learn Python+SQL</t>
  </si>
  <si>
    <t>Salary +3LPA</t>
  </si>
  <si>
    <t>Add visualization tool</t>
  </si>
  <si>
    <t>Salary +2LPA</t>
  </si>
  <si>
    <r>
      <rPr>
        <sz val="11"/>
        <color rgb="FF388600"/>
        <rFont val="Calibri"/>
        <family val="2"/>
        <scheme val="minor"/>
      </rPr>
      <t>🟢</t>
    </r>
    <r>
      <rPr>
        <sz val="11"/>
        <color rgb="FF212121"/>
        <rFont val="Calibri"/>
        <family val="2"/>
        <scheme val="minor"/>
      </rPr>
      <t xml:space="preserve"> Low</t>
    </r>
  </si>
  <si>
    <t>Aim for Tier 1 companies</t>
  </si>
  <si>
    <t>Salary +5LPA</t>
  </si>
  <si>
    <t>CONCLUSION:</t>
  </si>
  <si>
    <t>This analysis clearly shows that placement success depends on a combination 
of factors — not CGPA alone. Internship experience is the strongest single 
predictor of placement. Skills determine salary level. Branch determines 
the baseline opportunity. Students who combine good CGPA (7+), at least 
one internship, and relevant technical skills have near 100% placement rate.</t>
  </si>
  <si>
    <t>Report Generated using Microsoft Excel | Data Analysis &amp; Dashboard by KUNCHALA SRIVENKAT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</si>
</sst>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b/>
      <sz val="11"/>
      <color rgb="FFFFFFFF"/>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
      <sz val="28"/>
      <color theme="0"/>
      <name val="Calibri"/>
      <family val="2"/>
      <scheme val="minor"/>
    </font>
    <font>
      <sz val="20"/>
      <color rgb="FFFFFFFF"/>
      <name val="Calibri"/>
      <family val="2"/>
      <scheme val="minor"/>
    </font>
    <font>
      <sz val="8"/>
      <name val="Calibri"/>
      <family val="2"/>
      <scheme val="minor"/>
    </font>
    <font>
      <b/>
      <sz val="28"/>
      <color theme="1"/>
      <name val="Calibri"/>
      <family val="2"/>
      <scheme val="minor"/>
    </font>
    <font>
      <b/>
      <sz val="26"/>
      <color rgb="FF7EEC9A"/>
      <name val="Calibri"/>
      <family val="2"/>
      <scheme val="minor"/>
    </font>
    <font>
      <sz val="28"/>
      <color rgb="FFFFFF00"/>
      <name val="Calibri"/>
      <family val="2"/>
      <scheme val="minor"/>
    </font>
    <font>
      <b/>
      <sz val="18"/>
      <color rgb="FFFFFFFF"/>
      <name val="Calibri"/>
      <family val="2"/>
      <scheme val="minor"/>
    </font>
    <font>
      <sz val="11"/>
      <color rgb="FFFFFFFF"/>
      <name val="Calibri"/>
      <family val="2"/>
      <scheme val="minor"/>
    </font>
    <font>
      <sz val="28"/>
      <color theme="1"/>
      <name val="Calibri"/>
      <family val="2"/>
      <scheme val="minor"/>
    </font>
    <font>
      <sz val="18"/>
      <color rgb="FFFFFFFF"/>
      <name val="Calibri"/>
      <family val="2"/>
      <scheme val="minor"/>
    </font>
    <font>
      <sz val="28"/>
      <color rgb="FFFFFFFF"/>
      <name val="Arial Black"/>
      <family val="2"/>
    </font>
    <font>
      <sz val="18"/>
      <color rgb="FFFFFFFF"/>
      <name val="Arial Black"/>
      <family val="2"/>
    </font>
    <font>
      <i/>
      <sz val="10"/>
      <color theme="4"/>
      <name val="Calibri"/>
      <family val="2"/>
      <scheme val="minor"/>
    </font>
    <font>
      <b/>
      <sz val="14"/>
      <color theme="4"/>
      <name val="Calibri"/>
      <family val="2"/>
      <scheme val="minor"/>
    </font>
    <font>
      <b/>
      <sz val="12"/>
      <color theme="1"/>
      <name val="Calibri"/>
      <family val="2"/>
      <scheme val="minor"/>
    </font>
    <font>
      <b/>
      <sz val="12"/>
      <color rgb="FF005BA8"/>
      <name val="Calibri"/>
      <family val="2"/>
      <scheme val="minor"/>
    </font>
    <font>
      <b/>
      <sz val="11"/>
      <color rgb="FF003399"/>
      <name val="Calibri"/>
      <family val="2"/>
      <scheme val="minor"/>
    </font>
    <font>
      <b/>
      <sz val="11"/>
      <color rgb="FF005BA8"/>
      <name val="Calibri"/>
      <family val="2"/>
      <scheme val="minor"/>
    </font>
    <font>
      <b/>
      <sz val="11"/>
      <color rgb="FFFF6600"/>
      <name val="Calibri"/>
      <family val="2"/>
      <scheme val="minor"/>
    </font>
    <font>
      <sz val="11"/>
      <color rgb="FFFF6600"/>
      <name val="Calibri"/>
      <family val="2"/>
      <scheme val="minor"/>
    </font>
    <font>
      <sz val="11"/>
      <color rgb="FF003399"/>
      <name val="Calibri"/>
      <family val="2"/>
      <scheme val="minor"/>
    </font>
    <font>
      <b/>
      <sz val="14"/>
      <color rgb="FF003399"/>
      <name val="Calibri"/>
      <family val="2"/>
      <scheme val="minor"/>
    </font>
    <font>
      <sz val="11"/>
      <color rgb="FFC00000"/>
      <name val="Calibri"/>
      <family val="2"/>
      <scheme val="minor"/>
    </font>
    <font>
      <sz val="11"/>
      <color theme="1" tint="4.9989318521683403E-2"/>
      <name val="Calibri"/>
      <family val="2"/>
      <scheme val="minor"/>
    </font>
    <font>
      <sz val="11"/>
      <color rgb="FFFFFF00"/>
      <name val="Calibri"/>
      <family val="2"/>
      <scheme val="minor"/>
    </font>
    <font>
      <sz val="11"/>
      <color rgb="FF212121"/>
      <name val="Calibri"/>
      <family val="2"/>
      <scheme val="minor"/>
    </font>
    <font>
      <sz val="11"/>
      <color rgb="FF388600"/>
      <name val="Calibri"/>
      <family val="2"/>
      <scheme val="minor"/>
    </font>
    <font>
      <i/>
      <sz val="9"/>
      <color theme="1"/>
      <name val="Calibri"/>
      <family val="2"/>
      <scheme val="minor"/>
    </font>
  </fonts>
  <fills count="5">
    <fill>
      <patternFill patternType="none"/>
    </fill>
    <fill>
      <patternFill patternType="gray125"/>
    </fill>
    <fill>
      <patternFill patternType="solid">
        <fgColor rgb="FF227ACB"/>
        <bgColor indexed="64"/>
      </patternFill>
    </fill>
    <fill>
      <patternFill patternType="solid">
        <fgColor theme="4"/>
        <bgColor indexed="64"/>
      </patternFill>
    </fill>
    <fill>
      <patternFill patternType="solid">
        <fgColor rgb="FFA3DB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53">
    <xf numFmtId="0" fontId="0" fillId="0" borderId="0" xfId="0"/>
    <xf numFmtId="0" fontId="1" fillId="2" borderId="0" xfId="0" applyFont="1" applyFill="1"/>
    <xf numFmtId="164" fontId="1" fillId="2" borderId="0" xfId="0" applyNumberFormat="1" applyFont="1" applyFill="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9" fontId="0" fillId="0" borderId="0" xfId="1" applyFont="1"/>
    <xf numFmtId="1" fontId="0" fillId="0" borderId="0" xfId="0" applyNumberFormat="1"/>
    <xf numFmtId="9" fontId="0" fillId="0" borderId="0" xfId="0" applyNumberFormat="1"/>
    <xf numFmtId="0" fontId="0" fillId="2" borderId="0" xfId="0" applyFill="1"/>
    <xf numFmtId="2" fontId="10" fillId="2" borderId="0" xfId="0" applyNumberFormat="1"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0" fontId="8" fillId="2" borderId="0" xfId="0" applyFont="1" applyFill="1" applyAlignment="1">
      <alignment horizontal="center"/>
    </xf>
    <xf numFmtId="0" fontId="11" fillId="2" borderId="0" xfId="0" applyFont="1" applyFill="1" applyAlignment="1">
      <alignment horizontal="center" vertical="top"/>
    </xf>
    <xf numFmtId="0" fontId="14" fillId="2" borderId="0" xfId="0" applyFont="1" applyFill="1" applyAlignment="1">
      <alignment horizontal="center" vertical="top"/>
    </xf>
    <xf numFmtId="0" fontId="15" fillId="2" borderId="0" xfId="0" applyFont="1" applyFill="1" applyAlignment="1">
      <alignment horizontal="center"/>
    </xf>
    <xf numFmtId="0" fontId="13"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4" fillId="2" borderId="0" xfId="0" applyFont="1" applyFill="1" applyAlignment="1">
      <alignment horizontal="center"/>
    </xf>
    <xf numFmtId="0" fontId="6" fillId="2" borderId="0" xfId="0" applyFont="1" applyFill="1" applyAlignment="1">
      <alignment horizontal="center" vertical="center"/>
    </xf>
    <xf numFmtId="0" fontId="4" fillId="2" borderId="0" xfId="0" applyFont="1" applyFill="1" applyAlignment="1">
      <alignment horizontal="center" vertical="center"/>
    </xf>
    <xf numFmtId="0" fontId="9" fillId="2" borderId="0" xfId="0" applyFont="1" applyFill="1" applyAlignment="1">
      <alignment horizontal="left"/>
    </xf>
    <xf numFmtId="0" fontId="0" fillId="0" borderId="0" xfId="0" applyAlignment="1">
      <alignment horizontal="center"/>
    </xf>
    <xf numFmtId="0" fontId="16" fillId="3" borderId="0" xfId="0" applyFont="1" applyFill="1" applyAlignment="1">
      <alignment horizontal="center"/>
    </xf>
    <xf numFmtId="0" fontId="0" fillId="3" borderId="0" xfId="0" applyFill="1" applyAlignment="1">
      <alignment horizontal="center"/>
    </xf>
    <xf numFmtId="0" fontId="17" fillId="0" borderId="0" xfId="0" applyFont="1" applyAlignment="1">
      <alignment horizontal="center"/>
    </xf>
    <xf numFmtId="0" fontId="18" fillId="0" borderId="0" xfId="0" applyFont="1"/>
    <xf numFmtId="0" fontId="0" fillId="0" borderId="0" xfId="0" applyAlignment="1">
      <alignment horizontal="center" wrapText="1"/>
    </xf>
    <xf numFmtId="0" fontId="19" fillId="4" borderId="0" xfId="0" applyFont="1" applyFill="1" applyAlignment="1">
      <alignment horizontal="center"/>
    </xf>
    <xf numFmtId="0" fontId="20" fillId="4" borderId="0" xfId="0" applyFont="1" applyFill="1" applyAlignment="1">
      <alignment horizontal="center"/>
    </xf>
    <xf numFmtId="0" fontId="23" fillId="0" borderId="0" xfId="0" applyFont="1"/>
    <xf numFmtId="0" fontId="22" fillId="4" borderId="0" xfId="0" applyFont="1" applyFill="1" applyAlignment="1">
      <alignment horizontal="center"/>
    </xf>
    <xf numFmtId="0" fontId="24" fillId="0" borderId="0" xfId="0" applyFont="1"/>
    <xf numFmtId="0" fontId="21" fillId="4" borderId="0" xfId="0" applyFont="1" applyFill="1" applyAlignment="1">
      <alignment horizontal="center"/>
    </xf>
    <xf numFmtId="0" fontId="25" fillId="4" borderId="0" xfId="0" applyFont="1" applyFill="1" applyAlignment="1">
      <alignment horizontal="center"/>
    </xf>
    <xf numFmtId="0" fontId="1" fillId="2" borderId="1" xfId="0" applyFont="1" applyFill="1" applyBorder="1"/>
    <xf numFmtId="0" fontId="0" fillId="0" borderId="1" xfId="0" applyBorder="1"/>
    <xf numFmtId="0" fontId="29" fillId="0" borderId="1" xfId="0" applyFont="1" applyBorder="1"/>
    <xf numFmtId="0" fontId="26" fillId="0" borderId="0" xfId="0" applyFont="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vertical="center" wrapText="1"/>
    </xf>
    <xf numFmtId="0" fontId="0" fillId="0" borderId="0" xfId="0" applyAlignment="1">
      <alignment horizontal="center" vertical="center"/>
    </xf>
    <xf numFmtId="0" fontId="32" fillId="0" borderId="0" xfId="0" applyFont="1" applyAlignment="1">
      <alignment horizontal="center"/>
    </xf>
    <xf numFmtId="0" fontId="0" fillId="0" borderId="0" xfId="0" applyFont="1" applyAlignment="1">
      <alignment horizontal="center"/>
    </xf>
  </cellXfs>
  <cellStyles count="2">
    <cellStyle name="Normal" xfId="0" builtinId="0"/>
    <cellStyle name="Percent" xfId="1" builtinId="5"/>
  </cellStyles>
  <dxfs count="2">
    <dxf>
      <numFmt numFmtId="164" formatCode="0.0"/>
    </dxf>
    <dxf>
      <font>
        <b/>
        <i val="0"/>
        <strike val="0"/>
        <condense val="0"/>
        <extend val="0"/>
        <outline val="0"/>
        <shadow val="0"/>
        <u val="none"/>
        <vertAlign val="baseline"/>
        <sz val="11"/>
        <color rgb="FFFFFFFF"/>
        <name val="Calibri"/>
        <family val="2"/>
        <scheme val="minor"/>
      </font>
      <fill>
        <patternFill patternType="solid">
          <fgColor indexed="64"/>
          <bgColor rgb="FF227ACB"/>
        </patternFill>
      </fill>
    </dxf>
  </dxfs>
  <tableStyles count="0" defaultTableStyle="TableStyleMedium2" defaultPivotStyle="PivotStyleLight16"/>
  <colors>
    <mruColors>
      <color rgb="FF003399"/>
      <color rgb="FFFFFFFF"/>
      <color rgb="FFFFFF00"/>
      <color rgb="FFFF6600"/>
      <color rgb="FFFF0000"/>
      <color rgb="FF317738"/>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[College_Placement_Analysis.xlsx]Analysis_CGPA!PivotTable1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CGPA</a:t>
            </a:r>
            <a:r>
              <a:rPr lang="en-IN" b="1" baseline="0"/>
              <a:t> VS Placement Rate</a:t>
            </a:r>
          </a:p>
          <a:p>
            <a:pPr>
              <a:defRPr/>
            </a:pPr>
            <a:endParaRPr lang="en-IN"/>
          </a:p>
        </c:rich>
      </c:tx>
      <c:layout>
        <c:manualLayout>
          <c:xMode val="edge"/>
          <c:yMode val="edge"/>
          <c:x val="0.29715966754155732"/>
          <c:y val="0.14712744240303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Analysis_CGPA!$B$3:$B$4</c:f>
              <c:strCache>
                <c:ptCount val="1"/>
                <c:pt idx="0">
                  <c:v>No</c:v>
                </c:pt>
              </c:strCache>
            </c:strRef>
          </c:tx>
          <c:spPr>
            <a:solidFill>
              <a:srgbClr val="C00000"/>
            </a:solidFill>
            <a:ln>
              <a:solidFill>
                <a:srgbClr val="C00000"/>
              </a:solidFill>
            </a:ln>
            <a:effectLst/>
          </c:spPr>
          <c:invertIfNegative val="0"/>
          <c:cat>
            <c:strRef>
              <c:f>Analysis_CGPA!$A$5:$A$10</c:f>
              <c:strCache>
                <c:ptCount val="5"/>
                <c:pt idx="0">
                  <c:v>Average</c:v>
                </c:pt>
                <c:pt idx="1">
                  <c:v>Below Average</c:v>
                </c:pt>
                <c:pt idx="2">
                  <c:v>Excellent</c:v>
                </c:pt>
                <c:pt idx="3">
                  <c:v>Good</c:v>
                </c:pt>
                <c:pt idx="4">
                  <c:v>Outstanding</c:v>
                </c:pt>
              </c:strCache>
            </c:strRef>
          </c:cat>
          <c:val>
            <c:numRef>
              <c:f>Analysis_CGPA!$B$5:$B$10</c:f>
              <c:numCache>
                <c:formatCode>0.00%</c:formatCode>
                <c:ptCount val="5"/>
                <c:pt idx="0">
                  <c:v>0.66666666666666663</c:v>
                </c:pt>
                <c:pt idx="1">
                  <c:v>0.33333333333333331</c:v>
                </c:pt>
                <c:pt idx="2">
                  <c:v>0</c:v>
                </c:pt>
                <c:pt idx="3">
                  <c:v>0</c:v>
                </c:pt>
                <c:pt idx="4">
                  <c:v>0</c:v>
                </c:pt>
              </c:numCache>
            </c:numRef>
          </c:val>
          <c:extLst>
            <c:ext xmlns:c16="http://schemas.microsoft.com/office/drawing/2014/chart" uri="{C3380CC4-5D6E-409C-BE32-E72D297353CC}">
              <c16:uniqueId val="{00000000-B414-41AD-9D15-43787237CC04}"/>
            </c:ext>
          </c:extLst>
        </c:ser>
        <c:ser>
          <c:idx val="1"/>
          <c:order val="1"/>
          <c:tx>
            <c:strRef>
              <c:f>Analysis_CGPA!$C$3:$C$4</c:f>
              <c:strCache>
                <c:ptCount val="1"/>
                <c:pt idx="0">
                  <c:v>Yes</c:v>
                </c:pt>
              </c:strCache>
            </c:strRef>
          </c:tx>
          <c:spPr>
            <a:solidFill>
              <a:schemeClr val="accent6">
                <a:lumMod val="50000"/>
              </a:schemeClr>
            </a:solidFill>
            <a:ln>
              <a:noFill/>
            </a:ln>
            <a:effectLst/>
          </c:spPr>
          <c:invertIfNegative val="0"/>
          <c:cat>
            <c:strRef>
              <c:f>Analysis_CGPA!$A$5:$A$10</c:f>
              <c:strCache>
                <c:ptCount val="5"/>
                <c:pt idx="0">
                  <c:v>Average</c:v>
                </c:pt>
                <c:pt idx="1">
                  <c:v>Below Average</c:v>
                </c:pt>
                <c:pt idx="2">
                  <c:v>Excellent</c:v>
                </c:pt>
                <c:pt idx="3">
                  <c:v>Good</c:v>
                </c:pt>
                <c:pt idx="4">
                  <c:v>Outstanding</c:v>
                </c:pt>
              </c:strCache>
            </c:strRef>
          </c:cat>
          <c:val>
            <c:numRef>
              <c:f>Analysis_CGPA!$C$5:$C$10</c:f>
              <c:numCache>
                <c:formatCode>0.00%</c:formatCode>
                <c:ptCount val="5"/>
                <c:pt idx="0">
                  <c:v>0</c:v>
                </c:pt>
                <c:pt idx="1">
                  <c:v>0</c:v>
                </c:pt>
                <c:pt idx="2">
                  <c:v>0.2857142857142857</c:v>
                </c:pt>
                <c:pt idx="3">
                  <c:v>0.42857142857142855</c:v>
                </c:pt>
                <c:pt idx="4">
                  <c:v>0.2857142857142857</c:v>
                </c:pt>
              </c:numCache>
            </c:numRef>
          </c:val>
          <c:extLst>
            <c:ext xmlns:c16="http://schemas.microsoft.com/office/drawing/2014/chart" uri="{C3380CC4-5D6E-409C-BE32-E72D297353CC}">
              <c16:uniqueId val="{00000001-B414-41AD-9D15-43787237CC04}"/>
            </c:ext>
          </c:extLst>
        </c:ser>
        <c:dLbls>
          <c:showLegendKey val="0"/>
          <c:showVal val="0"/>
          <c:showCatName val="0"/>
          <c:showSerName val="0"/>
          <c:showPercent val="0"/>
          <c:showBubbleSize val="0"/>
        </c:dLbls>
        <c:gapWidth val="219"/>
        <c:overlap val="-27"/>
        <c:axId val="549160720"/>
        <c:axId val="549158920"/>
      </c:barChart>
      <c:catAx>
        <c:axId val="549160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158920"/>
        <c:crosses val="autoZero"/>
        <c:auto val="1"/>
        <c:lblAlgn val="ctr"/>
        <c:lblOffset val="100"/>
        <c:noMultiLvlLbl val="0"/>
      </c:catAx>
      <c:valAx>
        <c:axId val="549158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16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858158355205598"/>
          <c:y val="0.17634259259259263"/>
          <c:w val="0.80097397200349951"/>
          <c:h val="0.72088764946048411"/>
        </c:manualLayout>
      </c:layout>
      <c:barChart>
        <c:barDir val="bar"/>
        <c:grouping val="clustered"/>
        <c:varyColors val="0"/>
        <c:ser>
          <c:idx val="0"/>
          <c:order val="0"/>
          <c:tx>
            <c:strRef>
              <c:f>Analysis_Skills!$C$2</c:f>
              <c:strCache>
                <c:ptCount val="1"/>
                <c:pt idx="0">
                  <c:v>Avg_Salary_LPA</c:v>
                </c:pt>
              </c:strCache>
            </c:strRef>
          </c:tx>
          <c:spPr>
            <a:solidFill>
              <a:schemeClr val="accent1"/>
            </a:solidFill>
            <a:ln>
              <a:noFill/>
            </a:ln>
            <a:effectLst/>
          </c:spPr>
          <c:invertIfNegative val="0"/>
          <c:dPt>
            <c:idx val="11"/>
            <c:invertIfNegative val="0"/>
            <c:bubble3D val="0"/>
            <c:spPr>
              <a:solidFill>
                <a:schemeClr val="tx2">
                  <a:lumMod val="50000"/>
                </a:schemeClr>
              </a:solidFill>
              <a:ln>
                <a:noFill/>
              </a:ln>
              <a:effectLst/>
            </c:spPr>
            <c:extLst>
              <c:ext xmlns:c16="http://schemas.microsoft.com/office/drawing/2014/chart" uri="{C3380CC4-5D6E-409C-BE32-E72D297353CC}">
                <c16:uniqueId val="{00000001-BEE5-460D-95C6-A8DE70FD0A5A}"/>
              </c:ext>
            </c:extLst>
          </c:dPt>
          <c:dPt>
            <c:idx val="12"/>
            <c:invertIfNegative val="0"/>
            <c:bubble3D val="0"/>
            <c:spPr>
              <a:solidFill>
                <a:schemeClr val="accent6">
                  <a:lumMod val="50000"/>
                </a:schemeClr>
              </a:solidFill>
              <a:ln>
                <a:noFill/>
              </a:ln>
              <a:effectLst/>
            </c:spPr>
            <c:extLst>
              <c:ext xmlns:c16="http://schemas.microsoft.com/office/drawing/2014/chart" uri="{C3380CC4-5D6E-409C-BE32-E72D297353CC}">
                <c16:uniqueId val="{00000003-BEE5-460D-95C6-A8DE70FD0A5A}"/>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5-BEE5-460D-95C6-A8DE70FD0A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Analysis_Skills!$A$3:$A$16</c:f>
              <c:strCache>
                <c:ptCount val="14"/>
                <c:pt idx="0">
                  <c:v>STAAD</c:v>
                </c:pt>
                <c:pt idx="1">
                  <c:v>AutoCAD</c:v>
                </c:pt>
                <c:pt idx="2">
                  <c:v>SolidWorks</c:v>
                </c:pt>
                <c:pt idx="3">
                  <c:v>Java</c:v>
                </c:pt>
                <c:pt idx="4">
                  <c:v>Embedded</c:v>
                </c:pt>
                <c:pt idx="5">
                  <c:v>DSA</c:v>
                </c:pt>
                <c:pt idx="6">
                  <c:v>VLSI</c:v>
                </c:pt>
                <c:pt idx="7">
                  <c:v>Excel</c:v>
                </c:pt>
                <c:pt idx="8">
                  <c:v>SQL</c:v>
                </c:pt>
                <c:pt idx="9">
                  <c:v>Python</c:v>
                </c:pt>
                <c:pt idx="10">
                  <c:v>Finance</c:v>
                </c:pt>
                <c:pt idx="11">
                  <c:v>Power BI</c:v>
                </c:pt>
                <c:pt idx="12">
                  <c:v>Tableau</c:v>
                </c:pt>
                <c:pt idx="13">
                  <c:v>ML/AI</c:v>
                </c:pt>
              </c:strCache>
            </c:strRef>
          </c:cat>
          <c:val>
            <c:numRef>
              <c:f>Analysis_Skills!$C$3:$C$16</c:f>
              <c:numCache>
                <c:formatCode>General</c:formatCode>
                <c:ptCount val="14"/>
                <c:pt idx="0">
                  <c:v>5.5</c:v>
                </c:pt>
                <c:pt idx="1">
                  <c:v>5.8</c:v>
                </c:pt>
                <c:pt idx="2">
                  <c:v>6.2</c:v>
                </c:pt>
                <c:pt idx="3">
                  <c:v>7.2</c:v>
                </c:pt>
                <c:pt idx="4">
                  <c:v>7.8</c:v>
                </c:pt>
                <c:pt idx="5">
                  <c:v>8.5</c:v>
                </c:pt>
                <c:pt idx="6">
                  <c:v>8.5</c:v>
                </c:pt>
                <c:pt idx="7">
                  <c:v>8.5</c:v>
                </c:pt>
                <c:pt idx="8">
                  <c:v>9.8000000000000007</c:v>
                </c:pt>
                <c:pt idx="9">
                  <c:v>10.199999999999999</c:v>
                </c:pt>
                <c:pt idx="10">
                  <c:v>10.5</c:v>
                </c:pt>
                <c:pt idx="11">
                  <c:v>10.8</c:v>
                </c:pt>
                <c:pt idx="12">
                  <c:v>11.2</c:v>
                </c:pt>
                <c:pt idx="13">
                  <c:v>14.5</c:v>
                </c:pt>
              </c:numCache>
            </c:numRef>
          </c:val>
          <c:extLst>
            <c:ext xmlns:c16="http://schemas.microsoft.com/office/drawing/2014/chart" uri="{C3380CC4-5D6E-409C-BE32-E72D297353CC}">
              <c16:uniqueId val="{00000000-6EC7-408A-BEA2-0C0858D9623E}"/>
            </c:ext>
          </c:extLst>
        </c:ser>
        <c:dLbls>
          <c:dLblPos val="outEnd"/>
          <c:showLegendKey val="0"/>
          <c:showVal val="1"/>
          <c:showCatName val="0"/>
          <c:showSerName val="0"/>
          <c:showPercent val="0"/>
          <c:showBubbleSize val="0"/>
        </c:dLbls>
        <c:gapWidth val="182"/>
        <c:axId val="627713024"/>
        <c:axId val="627711944"/>
      </c:barChart>
      <c:catAx>
        <c:axId val="62771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11944"/>
        <c:crosses val="autoZero"/>
        <c:auto val="1"/>
        <c:lblAlgn val="ctr"/>
        <c:lblOffset val="100"/>
        <c:noMultiLvlLbl val="0"/>
      </c:catAx>
      <c:valAx>
        <c:axId val="627711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Internships</a:t>
            </a:r>
            <a:r>
              <a:rPr lang="en-IN" b="1" baseline="0"/>
              <a:t> vs Placement Rate</a:t>
            </a:r>
          </a:p>
          <a:p>
            <a:pPr>
              <a:defRPr/>
            </a:pPr>
            <a:endParaRPr lang="en-IN"/>
          </a:p>
        </c:rich>
      </c:tx>
      <c:layout>
        <c:manualLayout>
          <c:xMode val="edge"/>
          <c:yMode val="edge"/>
          <c:x val="0.26061111111111107"/>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Internship!$B$11</c:f>
              <c:strCache>
                <c:ptCount val="1"/>
                <c:pt idx="0">
                  <c:v>Placment Rate</c:v>
                </c:pt>
              </c:strCache>
            </c:strRef>
          </c:tx>
          <c:spPr>
            <a:solidFill>
              <a:schemeClr val="accent2"/>
            </a:solidFill>
            <a:ln>
              <a:noFill/>
            </a:ln>
            <a:effectLst/>
          </c:spPr>
          <c:invertIfNegative val="0"/>
          <c:cat>
            <c:numRef>
              <c:f>Internship!$A$12:$A$15</c:f>
              <c:numCache>
                <c:formatCode>General</c:formatCode>
                <c:ptCount val="4"/>
                <c:pt idx="0">
                  <c:v>0</c:v>
                </c:pt>
                <c:pt idx="1">
                  <c:v>1</c:v>
                </c:pt>
                <c:pt idx="2">
                  <c:v>2</c:v>
                </c:pt>
                <c:pt idx="3">
                  <c:v>3</c:v>
                </c:pt>
              </c:numCache>
            </c:numRef>
          </c:cat>
          <c:val>
            <c:numRef>
              <c:f>Internship!$B$12:$B$15</c:f>
              <c:numCache>
                <c:formatCode>0%</c:formatCode>
                <c:ptCount val="4"/>
                <c:pt idx="0">
                  <c:v>0.06</c:v>
                </c:pt>
                <c:pt idx="1">
                  <c:v>0.92</c:v>
                </c:pt>
                <c:pt idx="2">
                  <c:v>1</c:v>
                </c:pt>
                <c:pt idx="3">
                  <c:v>1</c:v>
                </c:pt>
              </c:numCache>
            </c:numRef>
          </c:val>
          <c:extLst>
            <c:ext xmlns:c16="http://schemas.microsoft.com/office/drawing/2014/chart" uri="{C3380CC4-5D6E-409C-BE32-E72D297353CC}">
              <c16:uniqueId val="{00000000-49D5-4D53-BA00-0A3ACEB9B934}"/>
            </c:ext>
          </c:extLst>
        </c:ser>
        <c:ser>
          <c:idx val="1"/>
          <c:order val="1"/>
          <c:tx>
            <c:strRef>
              <c:f>Internship!$C$11</c:f>
              <c:strCache>
                <c:ptCount val="1"/>
                <c:pt idx="0">
                  <c:v>Avg Offers</c:v>
                </c:pt>
              </c:strCache>
            </c:strRef>
          </c:tx>
          <c:spPr>
            <a:solidFill>
              <a:schemeClr val="accent6">
                <a:lumMod val="75000"/>
              </a:schemeClr>
            </a:solidFill>
            <a:ln>
              <a:noFill/>
            </a:ln>
            <a:effectLst/>
          </c:spPr>
          <c:invertIfNegative val="0"/>
          <c:cat>
            <c:numRef>
              <c:f>Internship!$A$12:$A$15</c:f>
              <c:numCache>
                <c:formatCode>General</c:formatCode>
                <c:ptCount val="4"/>
                <c:pt idx="0">
                  <c:v>0</c:v>
                </c:pt>
                <c:pt idx="1">
                  <c:v>1</c:v>
                </c:pt>
                <c:pt idx="2">
                  <c:v>2</c:v>
                </c:pt>
                <c:pt idx="3">
                  <c:v>3</c:v>
                </c:pt>
              </c:numCache>
            </c:numRef>
          </c:cat>
          <c:val>
            <c:numRef>
              <c:f>Internship!$C$12:$C$15</c:f>
              <c:numCache>
                <c:formatCode>0</c:formatCode>
                <c:ptCount val="4"/>
                <c:pt idx="0">
                  <c:v>0.1</c:v>
                </c:pt>
                <c:pt idx="1">
                  <c:v>1</c:v>
                </c:pt>
                <c:pt idx="2">
                  <c:v>1.5</c:v>
                </c:pt>
                <c:pt idx="3">
                  <c:v>2.8</c:v>
                </c:pt>
              </c:numCache>
            </c:numRef>
          </c:val>
          <c:extLst>
            <c:ext xmlns:c16="http://schemas.microsoft.com/office/drawing/2014/chart" uri="{C3380CC4-5D6E-409C-BE32-E72D297353CC}">
              <c16:uniqueId val="{00000001-49D5-4D53-BA00-0A3ACEB9B934}"/>
            </c:ext>
          </c:extLst>
        </c:ser>
        <c:ser>
          <c:idx val="2"/>
          <c:order val="2"/>
          <c:tx>
            <c:strRef>
              <c:f>Internship!$D$11</c:f>
              <c:strCache>
                <c:ptCount val="1"/>
                <c:pt idx="0">
                  <c:v>Avg Salary</c:v>
                </c:pt>
              </c:strCache>
            </c:strRef>
          </c:tx>
          <c:spPr>
            <a:solidFill>
              <a:schemeClr val="accent6">
                <a:lumMod val="50000"/>
              </a:schemeClr>
            </a:solidFill>
            <a:ln>
              <a:noFill/>
            </a:ln>
            <a:effectLst/>
          </c:spPr>
          <c:invertIfNegative val="0"/>
          <c:cat>
            <c:numRef>
              <c:f>Internship!$A$12:$A$15</c:f>
              <c:numCache>
                <c:formatCode>General</c:formatCode>
                <c:ptCount val="4"/>
                <c:pt idx="0">
                  <c:v>0</c:v>
                </c:pt>
                <c:pt idx="1">
                  <c:v>1</c:v>
                </c:pt>
                <c:pt idx="2">
                  <c:v>2</c:v>
                </c:pt>
                <c:pt idx="3">
                  <c:v>3</c:v>
                </c:pt>
              </c:numCache>
            </c:numRef>
          </c:cat>
          <c:val>
            <c:numRef>
              <c:f>Internship!$D$12:$D$15</c:f>
              <c:numCache>
                <c:formatCode>0.00%</c:formatCode>
                <c:ptCount val="4"/>
                <c:pt idx="0">
                  <c:v>0</c:v>
                </c:pt>
                <c:pt idx="1">
                  <c:v>5.7999999999999996E-2</c:v>
                </c:pt>
                <c:pt idx="2">
                  <c:v>7.4999999999999997E-2</c:v>
                </c:pt>
                <c:pt idx="3">
                  <c:v>0.11199999999999999</c:v>
                </c:pt>
              </c:numCache>
            </c:numRef>
          </c:val>
          <c:extLst>
            <c:ext xmlns:c16="http://schemas.microsoft.com/office/drawing/2014/chart" uri="{C3380CC4-5D6E-409C-BE32-E72D297353CC}">
              <c16:uniqueId val="{00000002-49D5-4D53-BA00-0A3ACEB9B934}"/>
            </c:ext>
          </c:extLst>
        </c:ser>
        <c:dLbls>
          <c:showLegendKey val="0"/>
          <c:showVal val="0"/>
          <c:showCatName val="0"/>
          <c:showSerName val="0"/>
          <c:showPercent val="0"/>
          <c:showBubbleSize val="0"/>
        </c:dLbls>
        <c:gapWidth val="219"/>
        <c:overlap val="-27"/>
        <c:axId val="630633032"/>
        <c:axId val="630625112"/>
      </c:barChart>
      <c:catAx>
        <c:axId val="63063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25112"/>
        <c:crosses val="autoZero"/>
        <c:auto val="1"/>
        <c:lblAlgn val="ctr"/>
        <c:lblOffset val="100"/>
        <c:noMultiLvlLbl val="0"/>
      </c:catAx>
      <c:valAx>
        <c:axId val="630625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33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Internships</a:t>
            </a:r>
            <a:r>
              <a:rPr lang="en-IN" b="1" baseline="0"/>
              <a:t> vs Average Salary(LPA)</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Internship!$A$11</c:f>
              <c:strCache>
                <c:ptCount val="1"/>
                <c:pt idx="0">
                  <c:v>Internships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Internship!$A$12:$A$15</c:f>
              <c:numCache>
                <c:formatCode>General</c:formatCode>
                <c:ptCount val="4"/>
                <c:pt idx="0">
                  <c:v>0</c:v>
                </c:pt>
                <c:pt idx="1">
                  <c:v>1</c:v>
                </c:pt>
                <c:pt idx="2">
                  <c:v>2</c:v>
                </c:pt>
                <c:pt idx="3">
                  <c:v>3</c:v>
                </c:pt>
              </c:numCache>
            </c:numRef>
          </c:val>
          <c:smooth val="0"/>
          <c:extLst>
            <c:ext xmlns:c16="http://schemas.microsoft.com/office/drawing/2014/chart" uri="{C3380CC4-5D6E-409C-BE32-E72D297353CC}">
              <c16:uniqueId val="{00000000-CD8C-4298-A1B2-06B0A1E2A0AF}"/>
            </c:ext>
          </c:extLst>
        </c:ser>
        <c:ser>
          <c:idx val="1"/>
          <c:order val="1"/>
          <c:tx>
            <c:strRef>
              <c:f>Internship!$D$11</c:f>
              <c:strCache>
                <c:ptCount val="1"/>
                <c:pt idx="0">
                  <c:v>Avg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Internship!$D$12:$D$15</c:f>
              <c:numCache>
                <c:formatCode>0.00%</c:formatCode>
                <c:ptCount val="4"/>
                <c:pt idx="0">
                  <c:v>0</c:v>
                </c:pt>
                <c:pt idx="1">
                  <c:v>5.7999999999999996E-2</c:v>
                </c:pt>
                <c:pt idx="2">
                  <c:v>7.4999999999999997E-2</c:v>
                </c:pt>
                <c:pt idx="3">
                  <c:v>0.11199999999999999</c:v>
                </c:pt>
              </c:numCache>
            </c:numRef>
          </c:val>
          <c:smooth val="0"/>
          <c:extLst>
            <c:ext xmlns:c16="http://schemas.microsoft.com/office/drawing/2014/chart" uri="{C3380CC4-5D6E-409C-BE32-E72D297353CC}">
              <c16:uniqueId val="{00000001-CD8C-4298-A1B2-06B0A1E2A0AF}"/>
            </c:ext>
          </c:extLst>
        </c:ser>
        <c:dLbls>
          <c:showLegendKey val="0"/>
          <c:showVal val="0"/>
          <c:showCatName val="0"/>
          <c:showSerName val="0"/>
          <c:showPercent val="0"/>
          <c:showBubbleSize val="0"/>
        </c:dLbls>
        <c:marker val="1"/>
        <c:smooth val="0"/>
        <c:axId val="638142384"/>
        <c:axId val="638140584"/>
      </c:lineChart>
      <c:catAx>
        <c:axId val="6381423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0584"/>
        <c:crosses val="autoZero"/>
        <c:auto val="1"/>
        <c:lblAlgn val="ctr"/>
        <c:lblOffset val="100"/>
        <c:noMultiLvlLbl val="0"/>
      </c:catAx>
      <c:valAx>
        <c:axId val="638140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2000" b="1"/>
              <a:t>Branch</a:t>
            </a:r>
            <a:r>
              <a:rPr lang="en-US" sz="2000" b="1" baseline="0"/>
              <a:t> Wise Placement Rate</a:t>
            </a:r>
          </a:p>
          <a:p>
            <a:pPr algn="r">
              <a:defRPr/>
            </a:pPr>
            <a:endParaRPr lang="en-US"/>
          </a:p>
        </c:rich>
      </c:tx>
      <c:layout>
        <c:manualLayout>
          <c:xMode val="edge"/>
          <c:yMode val="edge"/>
          <c:x val="0.15426377952755904"/>
          <c:y val="3.2407407407407406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Branch!$E$20</c:f>
              <c:strCache>
                <c:ptCount val="1"/>
                <c:pt idx="0">
                  <c:v>Placement%</c:v>
                </c:pt>
              </c:strCache>
            </c:strRef>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4AAE-4BB6-B8C8-F5BD67552D4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4AAE-4BB6-B8C8-F5BD67552D4E}"/>
              </c:ext>
            </c:extLst>
          </c:dPt>
          <c:dPt>
            <c:idx val="3"/>
            <c:invertIfNegative val="0"/>
            <c:bubble3D val="0"/>
            <c:spPr>
              <a:solidFill>
                <a:srgbClr val="7030A0"/>
              </a:solidFill>
              <a:ln>
                <a:noFill/>
              </a:ln>
              <a:effectLst/>
            </c:spPr>
            <c:extLst>
              <c:ext xmlns:c16="http://schemas.microsoft.com/office/drawing/2014/chart" uri="{C3380CC4-5D6E-409C-BE32-E72D297353CC}">
                <c16:uniqueId val="{00000003-4AAE-4BB6-B8C8-F5BD67552D4E}"/>
              </c:ext>
            </c:extLst>
          </c:dPt>
          <c:dPt>
            <c:idx val="4"/>
            <c:invertIfNegative val="0"/>
            <c:bubble3D val="0"/>
            <c:spPr>
              <a:solidFill>
                <a:srgbClr val="FF0000"/>
              </a:solidFill>
              <a:ln>
                <a:noFill/>
              </a:ln>
              <a:effectLst/>
            </c:spPr>
            <c:extLst>
              <c:ext xmlns:c16="http://schemas.microsoft.com/office/drawing/2014/chart" uri="{C3380CC4-5D6E-409C-BE32-E72D297353CC}">
                <c16:uniqueId val="{00000004-4AAE-4BB6-B8C8-F5BD67552D4E}"/>
              </c:ext>
            </c:extLst>
          </c:dPt>
          <c:cat>
            <c:strRef>
              <c:f>Branch!$A$21:$A$25</c:f>
              <c:strCache>
                <c:ptCount val="5"/>
                <c:pt idx="0">
                  <c:v>CSE</c:v>
                </c:pt>
                <c:pt idx="1">
                  <c:v>ECE</c:v>
                </c:pt>
                <c:pt idx="2">
                  <c:v>MECH</c:v>
                </c:pt>
                <c:pt idx="3">
                  <c:v>MBA</c:v>
                </c:pt>
                <c:pt idx="4">
                  <c:v>CIVIL</c:v>
                </c:pt>
              </c:strCache>
            </c:strRef>
          </c:cat>
          <c:val>
            <c:numRef>
              <c:f>Branch!$E$21:$E$25</c:f>
              <c:numCache>
                <c:formatCode>0%</c:formatCode>
                <c:ptCount val="5"/>
                <c:pt idx="0">
                  <c:v>0.8</c:v>
                </c:pt>
                <c:pt idx="1">
                  <c:v>0.7</c:v>
                </c:pt>
                <c:pt idx="2">
                  <c:v>0.6</c:v>
                </c:pt>
                <c:pt idx="3">
                  <c:v>0.75</c:v>
                </c:pt>
                <c:pt idx="4">
                  <c:v>0.6</c:v>
                </c:pt>
              </c:numCache>
            </c:numRef>
          </c:val>
          <c:extLst>
            <c:ext xmlns:c16="http://schemas.microsoft.com/office/drawing/2014/chart" uri="{C3380CC4-5D6E-409C-BE32-E72D297353CC}">
              <c16:uniqueId val="{00000000-4AAE-4BB6-B8C8-F5BD67552D4E}"/>
            </c:ext>
          </c:extLst>
        </c:ser>
        <c:dLbls>
          <c:showLegendKey val="0"/>
          <c:showVal val="0"/>
          <c:showCatName val="0"/>
          <c:showSerName val="0"/>
          <c:showPercent val="0"/>
          <c:showBubbleSize val="0"/>
        </c:dLbls>
        <c:gapWidth val="219"/>
        <c:overlap val="-27"/>
        <c:axId val="416739840"/>
        <c:axId val="416741640"/>
      </c:barChart>
      <c:catAx>
        <c:axId val="41673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41640"/>
        <c:crosses val="autoZero"/>
        <c:auto val="1"/>
        <c:lblAlgn val="ctr"/>
        <c:lblOffset val="100"/>
        <c:noMultiLvlLbl val="0"/>
      </c:catAx>
      <c:valAx>
        <c:axId val="416741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3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Salary by Branch(LPA)</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Branch!$F$20</c:f>
              <c:strCache>
                <c:ptCount val="1"/>
                <c:pt idx="0">
                  <c:v>Avg Salary</c:v>
                </c:pt>
              </c:strCache>
            </c:strRef>
          </c:tx>
          <c:spPr>
            <a:solidFill>
              <a:schemeClr val="accent1"/>
            </a:solidFill>
            <a:ln>
              <a:noFill/>
            </a:ln>
            <a:effectLst/>
          </c:spPr>
          <c:invertIfNegative val="0"/>
          <c:cat>
            <c:strRef>
              <c:f>Branch!$A$21:$A$25</c:f>
              <c:strCache>
                <c:ptCount val="5"/>
                <c:pt idx="0">
                  <c:v>CSE</c:v>
                </c:pt>
                <c:pt idx="1">
                  <c:v>ECE</c:v>
                </c:pt>
                <c:pt idx="2">
                  <c:v>MECH</c:v>
                </c:pt>
                <c:pt idx="3">
                  <c:v>MBA</c:v>
                </c:pt>
                <c:pt idx="4">
                  <c:v>CIVIL</c:v>
                </c:pt>
              </c:strCache>
            </c:strRef>
          </c:cat>
          <c:val>
            <c:numRef>
              <c:f>Branch!$F$21:$F$25</c:f>
              <c:numCache>
                <c:formatCode>General</c:formatCode>
                <c:ptCount val="5"/>
                <c:pt idx="0">
                  <c:v>9.1999999999999993</c:v>
                </c:pt>
                <c:pt idx="1">
                  <c:v>7.6</c:v>
                </c:pt>
                <c:pt idx="2">
                  <c:v>6.8</c:v>
                </c:pt>
                <c:pt idx="3">
                  <c:v>8.5</c:v>
                </c:pt>
                <c:pt idx="4">
                  <c:v>5.8</c:v>
                </c:pt>
              </c:numCache>
            </c:numRef>
          </c:val>
          <c:extLst>
            <c:ext xmlns:c16="http://schemas.microsoft.com/office/drawing/2014/chart" uri="{C3380CC4-5D6E-409C-BE32-E72D297353CC}">
              <c16:uniqueId val="{00000000-DBE2-48EC-B2B1-92710791513D}"/>
            </c:ext>
          </c:extLst>
        </c:ser>
        <c:dLbls>
          <c:showLegendKey val="0"/>
          <c:showVal val="0"/>
          <c:showCatName val="0"/>
          <c:showSerName val="0"/>
          <c:showPercent val="0"/>
          <c:showBubbleSize val="0"/>
        </c:dLbls>
        <c:gapWidth val="182"/>
        <c:axId val="414421976"/>
        <c:axId val="414423056"/>
      </c:barChart>
      <c:catAx>
        <c:axId val="414421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23056"/>
        <c:crosses val="autoZero"/>
        <c:auto val="1"/>
        <c:lblAlgn val="ctr"/>
        <c:lblOffset val="100"/>
        <c:noMultiLvlLbl val="0"/>
      </c:catAx>
      <c:valAx>
        <c:axId val="414423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21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Share</a:t>
            </a:r>
            <a:r>
              <a:rPr lang="en-IN" sz="1800" b="1" baseline="0"/>
              <a:t> of Total Placements by Branch</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Branch!$C$20</c:f>
              <c:strCache>
                <c:ptCount val="1"/>
                <c:pt idx="0">
                  <c:v>Placed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64-4E2C-8BEF-0C842F7273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64-4E2C-8BEF-0C842F7273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64-4E2C-8BEF-0C842F7273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64-4E2C-8BEF-0C842F7273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64-4E2C-8BEF-0C842F7273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Branch!$A$21:$A$25</c:f>
              <c:strCache>
                <c:ptCount val="5"/>
                <c:pt idx="0">
                  <c:v>CSE</c:v>
                </c:pt>
                <c:pt idx="1">
                  <c:v>ECE</c:v>
                </c:pt>
                <c:pt idx="2">
                  <c:v>MECH</c:v>
                </c:pt>
                <c:pt idx="3">
                  <c:v>MBA</c:v>
                </c:pt>
                <c:pt idx="4">
                  <c:v>CIVIL</c:v>
                </c:pt>
              </c:strCache>
            </c:strRef>
          </c:cat>
          <c:val>
            <c:numRef>
              <c:f>Branch!$C$21:$C$25</c:f>
              <c:numCache>
                <c:formatCode>General</c:formatCode>
                <c:ptCount val="5"/>
                <c:pt idx="0">
                  <c:v>8</c:v>
                </c:pt>
                <c:pt idx="1">
                  <c:v>7</c:v>
                </c:pt>
                <c:pt idx="2">
                  <c:v>6</c:v>
                </c:pt>
                <c:pt idx="3">
                  <c:v>8</c:v>
                </c:pt>
                <c:pt idx="4">
                  <c:v>6</c:v>
                </c:pt>
              </c:numCache>
            </c:numRef>
          </c:val>
          <c:extLst>
            <c:ext xmlns:c16="http://schemas.microsoft.com/office/drawing/2014/chart" uri="{C3380CC4-5D6E-409C-BE32-E72D297353CC}">
              <c16:uniqueId val="{00000000-7F36-4B0B-A931-4747EC127AF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[College_Placement_Analysis.xlsx]Analysis_CGPA!PivotTable1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CGPA</a:t>
            </a:r>
            <a:r>
              <a:rPr lang="en-IN" b="1" baseline="0"/>
              <a:t> VS Placement Rate</a:t>
            </a:r>
          </a:p>
          <a:p>
            <a:pPr>
              <a:defRPr/>
            </a:pPr>
            <a:endParaRPr lang="en-IN"/>
          </a:p>
        </c:rich>
      </c:tx>
      <c:layout>
        <c:manualLayout>
          <c:xMode val="edge"/>
          <c:yMode val="edge"/>
          <c:x val="0.30766337624915563"/>
          <c:y val="6.421700314994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Analysis_CGPA!$B$3:$B$4</c:f>
              <c:strCache>
                <c:ptCount val="1"/>
                <c:pt idx="0">
                  <c:v>No</c:v>
                </c:pt>
              </c:strCache>
            </c:strRef>
          </c:tx>
          <c:spPr>
            <a:solidFill>
              <a:srgbClr val="C00000"/>
            </a:solidFill>
            <a:ln>
              <a:solidFill>
                <a:srgbClr val="C00000"/>
              </a:solidFill>
            </a:ln>
            <a:effectLst/>
          </c:spPr>
          <c:invertIfNegative val="0"/>
          <c:cat>
            <c:strRef>
              <c:f>Analysis_CGPA!$A$5:$A$10</c:f>
              <c:strCache>
                <c:ptCount val="5"/>
                <c:pt idx="0">
                  <c:v>Average</c:v>
                </c:pt>
                <c:pt idx="1">
                  <c:v>Below Average</c:v>
                </c:pt>
                <c:pt idx="2">
                  <c:v>Excellent</c:v>
                </c:pt>
                <c:pt idx="3">
                  <c:v>Good</c:v>
                </c:pt>
                <c:pt idx="4">
                  <c:v>Outstanding</c:v>
                </c:pt>
              </c:strCache>
            </c:strRef>
          </c:cat>
          <c:val>
            <c:numRef>
              <c:f>Analysis_CGPA!$B$5:$B$10</c:f>
              <c:numCache>
                <c:formatCode>0.00%</c:formatCode>
                <c:ptCount val="5"/>
                <c:pt idx="0">
                  <c:v>0.66666666666666663</c:v>
                </c:pt>
                <c:pt idx="1">
                  <c:v>0.33333333333333331</c:v>
                </c:pt>
                <c:pt idx="2">
                  <c:v>0</c:v>
                </c:pt>
                <c:pt idx="3">
                  <c:v>0</c:v>
                </c:pt>
                <c:pt idx="4">
                  <c:v>0</c:v>
                </c:pt>
              </c:numCache>
            </c:numRef>
          </c:val>
          <c:extLst>
            <c:ext xmlns:c16="http://schemas.microsoft.com/office/drawing/2014/chart" uri="{C3380CC4-5D6E-409C-BE32-E72D297353CC}">
              <c16:uniqueId val="{00000000-625B-4274-83A0-2C287D05D8B5}"/>
            </c:ext>
          </c:extLst>
        </c:ser>
        <c:ser>
          <c:idx val="1"/>
          <c:order val="1"/>
          <c:tx>
            <c:strRef>
              <c:f>Analysis_CGPA!$C$3:$C$4</c:f>
              <c:strCache>
                <c:ptCount val="1"/>
                <c:pt idx="0">
                  <c:v>Yes</c:v>
                </c:pt>
              </c:strCache>
            </c:strRef>
          </c:tx>
          <c:spPr>
            <a:solidFill>
              <a:schemeClr val="accent6">
                <a:lumMod val="50000"/>
              </a:schemeClr>
            </a:solidFill>
            <a:ln>
              <a:noFill/>
            </a:ln>
            <a:effectLst/>
          </c:spPr>
          <c:invertIfNegative val="0"/>
          <c:cat>
            <c:strRef>
              <c:f>Analysis_CGPA!$A$5:$A$10</c:f>
              <c:strCache>
                <c:ptCount val="5"/>
                <c:pt idx="0">
                  <c:v>Average</c:v>
                </c:pt>
                <c:pt idx="1">
                  <c:v>Below Average</c:v>
                </c:pt>
                <c:pt idx="2">
                  <c:v>Excellent</c:v>
                </c:pt>
                <c:pt idx="3">
                  <c:v>Good</c:v>
                </c:pt>
                <c:pt idx="4">
                  <c:v>Outstanding</c:v>
                </c:pt>
              </c:strCache>
            </c:strRef>
          </c:cat>
          <c:val>
            <c:numRef>
              <c:f>Analysis_CGPA!$C$5:$C$10</c:f>
              <c:numCache>
                <c:formatCode>0.00%</c:formatCode>
                <c:ptCount val="5"/>
                <c:pt idx="0">
                  <c:v>0</c:v>
                </c:pt>
                <c:pt idx="1">
                  <c:v>0</c:v>
                </c:pt>
                <c:pt idx="2">
                  <c:v>0.2857142857142857</c:v>
                </c:pt>
                <c:pt idx="3">
                  <c:v>0.42857142857142855</c:v>
                </c:pt>
                <c:pt idx="4">
                  <c:v>0.2857142857142857</c:v>
                </c:pt>
              </c:numCache>
            </c:numRef>
          </c:val>
          <c:extLst>
            <c:ext xmlns:c16="http://schemas.microsoft.com/office/drawing/2014/chart" uri="{C3380CC4-5D6E-409C-BE32-E72D297353CC}">
              <c16:uniqueId val="{00000001-625B-4274-83A0-2C287D05D8B5}"/>
            </c:ext>
          </c:extLst>
        </c:ser>
        <c:dLbls>
          <c:showLegendKey val="0"/>
          <c:showVal val="0"/>
          <c:showCatName val="0"/>
          <c:showSerName val="0"/>
          <c:showPercent val="0"/>
          <c:showBubbleSize val="0"/>
        </c:dLbls>
        <c:gapWidth val="219"/>
        <c:overlap val="-27"/>
        <c:axId val="549160720"/>
        <c:axId val="549158920"/>
      </c:barChart>
      <c:catAx>
        <c:axId val="549160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158920"/>
        <c:crosses val="autoZero"/>
        <c:auto val="1"/>
        <c:lblAlgn val="ctr"/>
        <c:lblOffset val="100"/>
        <c:noMultiLvlLbl val="0"/>
      </c:catAx>
      <c:valAx>
        <c:axId val="549158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16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Skills</a:t>
            </a:r>
            <a:r>
              <a:rPr lang="en-US" sz="1600" b="1" baseline="0"/>
              <a:t> vs Average Salary</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858158355205598"/>
          <c:y val="0.17634259259259263"/>
          <c:w val="0.80097397200349951"/>
          <c:h val="0.72088764946048411"/>
        </c:manualLayout>
      </c:layout>
      <c:barChart>
        <c:barDir val="bar"/>
        <c:grouping val="clustered"/>
        <c:varyColors val="0"/>
        <c:ser>
          <c:idx val="0"/>
          <c:order val="0"/>
          <c:tx>
            <c:strRef>
              <c:f>Analysis_Skills!$C$2</c:f>
              <c:strCache>
                <c:ptCount val="1"/>
                <c:pt idx="0">
                  <c:v>Avg_Salary_LPA</c:v>
                </c:pt>
              </c:strCache>
            </c:strRef>
          </c:tx>
          <c:spPr>
            <a:solidFill>
              <a:schemeClr val="accent1"/>
            </a:solidFill>
            <a:ln>
              <a:noFill/>
            </a:ln>
            <a:effectLst/>
          </c:spPr>
          <c:invertIfNegative val="0"/>
          <c:dPt>
            <c:idx val="11"/>
            <c:invertIfNegative val="0"/>
            <c:bubble3D val="0"/>
            <c:spPr>
              <a:solidFill>
                <a:schemeClr val="tx2">
                  <a:lumMod val="50000"/>
                </a:schemeClr>
              </a:solidFill>
              <a:ln>
                <a:noFill/>
              </a:ln>
              <a:effectLst/>
            </c:spPr>
            <c:extLst>
              <c:ext xmlns:c16="http://schemas.microsoft.com/office/drawing/2014/chart" uri="{C3380CC4-5D6E-409C-BE32-E72D297353CC}">
                <c16:uniqueId val="{00000001-4B48-4817-8D69-5F9B28A097A7}"/>
              </c:ext>
            </c:extLst>
          </c:dPt>
          <c:dPt>
            <c:idx val="12"/>
            <c:invertIfNegative val="0"/>
            <c:bubble3D val="0"/>
            <c:spPr>
              <a:solidFill>
                <a:schemeClr val="accent6">
                  <a:lumMod val="50000"/>
                </a:schemeClr>
              </a:solidFill>
              <a:ln>
                <a:noFill/>
              </a:ln>
              <a:effectLst/>
            </c:spPr>
            <c:extLst>
              <c:ext xmlns:c16="http://schemas.microsoft.com/office/drawing/2014/chart" uri="{C3380CC4-5D6E-409C-BE32-E72D297353CC}">
                <c16:uniqueId val="{00000003-4B48-4817-8D69-5F9B28A097A7}"/>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5-4B48-4817-8D69-5F9B28A097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Analysis_Skills!$A$3:$A$16</c:f>
              <c:strCache>
                <c:ptCount val="14"/>
                <c:pt idx="0">
                  <c:v>STAAD</c:v>
                </c:pt>
                <c:pt idx="1">
                  <c:v>AutoCAD</c:v>
                </c:pt>
                <c:pt idx="2">
                  <c:v>SolidWorks</c:v>
                </c:pt>
                <c:pt idx="3">
                  <c:v>Java</c:v>
                </c:pt>
                <c:pt idx="4">
                  <c:v>Embedded</c:v>
                </c:pt>
                <c:pt idx="5">
                  <c:v>DSA</c:v>
                </c:pt>
                <c:pt idx="6">
                  <c:v>VLSI</c:v>
                </c:pt>
                <c:pt idx="7">
                  <c:v>Excel</c:v>
                </c:pt>
                <c:pt idx="8">
                  <c:v>SQL</c:v>
                </c:pt>
                <c:pt idx="9">
                  <c:v>Python</c:v>
                </c:pt>
                <c:pt idx="10">
                  <c:v>Finance</c:v>
                </c:pt>
                <c:pt idx="11">
                  <c:v>Power BI</c:v>
                </c:pt>
                <c:pt idx="12">
                  <c:v>Tableau</c:v>
                </c:pt>
                <c:pt idx="13">
                  <c:v>ML/AI</c:v>
                </c:pt>
              </c:strCache>
            </c:strRef>
          </c:cat>
          <c:val>
            <c:numRef>
              <c:f>Analysis_Skills!$C$3:$C$16</c:f>
              <c:numCache>
                <c:formatCode>General</c:formatCode>
                <c:ptCount val="14"/>
                <c:pt idx="0">
                  <c:v>5.5</c:v>
                </c:pt>
                <c:pt idx="1">
                  <c:v>5.8</c:v>
                </c:pt>
                <c:pt idx="2">
                  <c:v>6.2</c:v>
                </c:pt>
                <c:pt idx="3">
                  <c:v>7.2</c:v>
                </c:pt>
                <c:pt idx="4">
                  <c:v>7.8</c:v>
                </c:pt>
                <c:pt idx="5">
                  <c:v>8.5</c:v>
                </c:pt>
                <c:pt idx="6">
                  <c:v>8.5</c:v>
                </c:pt>
                <c:pt idx="7">
                  <c:v>8.5</c:v>
                </c:pt>
                <c:pt idx="8">
                  <c:v>9.8000000000000007</c:v>
                </c:pt>
                <c:pt idx="9">
                  <c:v>10.199999999999999</c:v>
                </c:pt>
                <c:pt idx="10">
                  <c:v>10.5</c:v>
                </c:pt>
                <c:pt idx="11">
                  <c:v>10.8</c:v>
                </c:pt>
                <c:pt idx="12">
                  <c:v>11.2</c:v>
                </c:pt>
                <c:pt idx="13">
                  <c:v>14.5</c:v>
                </c:pt>
              </c:numCache>
            </c:numRef>
          </c:val>
          <c:extLst>
            <c:ext xmlns:c16="http://schemas.microsoft.com/office/drawing/2014/chart" uri="{C3380CC4-5D6E-409C-BE32-E72D297353CC}">
              <c16:uniqueId val="{00000006-4B48-4817-8D69-5F9B28A097A7}"/>
            </c:ext>
          </c:extLst>
        </c:ser>
        <c:dLbls>
          <c:dLblPos val="outEnd"/>
          <c:showLegendKey val="0"/>
          <c:showVal val="1"/>
          <c:showCatName val="0"/>
          <c:showSerName val="0"/>
          <c:showPercent val="0"/>
          <c:showBubbleSize val="0"/>
        </c:dLbls>
        <c:gapWidth val="182"/>
        <c:axId val="627713024"/>
        <c:axId val="627711944"/>
      </c:barChart>
      <c:catAx>
        <c:axId val="62771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11944"/>
        <c:crosses val="autoZero"/>
        <c:auto val="1"/>
        <c:lblAlgn val="ctr"/>
        <c:lblOffset val="100"/>
        <c:noMultiLvlLbl val="0"/>
      </c:catAx>
      <c:valAx>
        <c:axId val="627711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Internships</a:t>
            </a:r>
            <a:r>
              <a:rPr lang="en-IN" b="1" baseline="0"/>
              <a:t> vs Average Salary(LPA)</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Internship!$A$11</c:f>
              <c:strCache>
                <c:ptCount val="1"/>
                <c:pt idx="0">
                  <c:v>Internships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Internship!$A$12:$A$15</c:f>
              <c:numCache>
                <c:formatCode>General</c:formatCode>
                <c:ptCount val="4"/>
                <c:pt idx="0">
                  <c:v>0</c:v>
                </c:pt>
                <c:pt idx="1">
                  <c:v>1</c:v>
                </c:pt>
                <c:pt idx="2">
                  <c:v>2</c:v>
                </c:pt>
                <c:pt idx="3">
                  <c:v>3</c:v>
                </c:pt>
              </c:numCache>
            </c:numRef>
          </c:val>
          <c:smooth val="0"/>
          <c:extLst>
            <c:ext xmlns:c16="http://schemas.microsoft.com/office/drawing/2014/chart" uri="{C3380CC4-5D6E-409C-BE32-E72D297353CC}">
              <c16:uniqueId val="{00000000-F80A-482C-92A6-BCA5DAA3BA3F}"/>
            </c:ext>
          </c:extLst>
        </c:ser>
        <c:ser>
          <c:idx val="1"/>
          <c:order val="1"/>
          <c:tx>
            <c:strRef>
              <c:f>Internship!$D$11</c:f>
              <c:strCache>
                <c:ptCount val="1"/>
                <c:pt idx="0">
                  <c:v>Avg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Internship!$D$12:$D$15</c:f>
              <c:numCache>
                <c:formatCode>0.00%</c:formatCode>
                <c:ptCount val="4"/>
                <c:pt idx="0">
                  <c:v>0</c:v>
                </c:pt>
                <c:pt idx="1">
                  <c:v>5.7999999999999996E-2</c:v>
                </c:pt>
                <c:pt idx="2">
                  <c:v>7.4999999999999997E-2</c:v>
                </c:pt>
                <c:pt idx="3">
                  <c:v>0.11199999999999999</c:v>
                </c:pt>
              </c:numCache>
            </c:numRef>
          </c:val>
          <c:smooth val="0"/>
          <c:extLst>
            <c:ext xmlns:c16="http://schemas.microsoft.com/office/drawing/2014/chart" uri="{C3380CC4-5D6E-409C-BE32-E72D297353CC}">
              <c16:uniqueId val="{00000001-F80A-482C-92A6-BCA5DAA3BA3F}"/>
            </c:ext>
          </c:extLst>
        </c:ser>
        <c:dLbls>
          <c:showLegendKey val="0"/>
          <c:showVal val="0"/>
          <c:showCatName val="0"/>
          <c:showSerName val="0"/>
          <c:showPercent val="0"/>
          <c:showBubbleSize val="0"/>
        </c:dLbls>
        <c:marker val="1"/>
        <c:smooth val="0"/>
        <c:axId val="638142384"/>
        <c:axId val="638140584"/>
      </c:lineChart>
      <c:catAx>
        <c:axId val="6381423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0584"/>
        <c:crosses val="autoZero"/>
        <c:auto val="1"/>
        <c:lblAlgn val="ctr"/>
        <c:lblOffset val="100"/>
        <c:noMultiLvlLbl val="0"/>
      </c:catAx>
      <c:valAx>
        <c:axId val="638140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14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Share</a:t>
            </a:r>
            <a:r>
              <a:rPr lang="en-IN" sz="1800" b="1" baseline="0"/>
              <a:t> of Total Placements by Branch</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Branch!$C$20</c:f>
              <c:strCache>
                <c:ptCount val="1"/>
                <c:pt idx="0">
                  <c:v>Placed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2B-4115-AE18-74FC37000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2B-4115-AE18-74FC37000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2B-4115-AE18-74FC370007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2B-4115-AE18-74FC370007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2B-4115-AE18-74FC370007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Branch!$A$21:$A$25</c:f>
              <c:strCache>
                <c:ptCount val="5"/>
                <c:pt idx="0">
                  <c:v>CSE</c:v>
                </c:pt>
                <c:pt idx="1">
                  <c:v>ECE</c:v>
                </c:pt>
                <c:pt idx="2">
                  <c:v>MECH</c:v>
                </c:pt>
                <c:pt idx="3">
                  <c:v>MBA</c:v>
                </c:pt>
                <c:pt idx="4">
                  <c:v>CIVIL</c:v>
                </c:pt>
              </c:strCache>
            </c:strRef>
          </c:cat>
          <c:val>
            <c:numRef>
              <c:f>Branch!$C$21:$C$25</c:f>
              <c:numCache>
                <c:formatCode>General</c:formatCode>
                <c:ptCount val="5"/>
                <c:pt idx="0">
                  <c:v>8</c:v>
                </c:pt>
                <c:pt idx="1">
                  <c:v>7</c:v>
                </c:pt>
                <c:pt idx="2">
                  <c:v>6</c:v>
                </c:pt>
                <c:pt idx="3">
                  <c:v>8</c:v>
                </c:pt>
                <c:pt idx="4">
                  <c:v>6</c:v>
                </c:pt>
              </c:numCache>
            </c:numRef>
          </c:val>
          <c:extLst>
            <c:ext xmlns:c16="http://schemas.microsoft.com/office/drawing/2014/chart" uri="{C3380CC4-5D6E-409C-BE32-E72D297353CC}">
              <c16:uniqueId val="{0000000A-4C2B-4115-AE18-74FC370007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38100</xdr:colOff>
      <xdr:row>10</xdr:row>
      <xdr:rowOff>45720</xdr:rowOff>
    </xdr:from>
    <xdr:to>
      <xdr:col>4</xdr:col>
      <xdr:colOff>45720</xdr:colOff>
      <xdr:row>24</xdr:row>
      <xdr:rowOff>76200</xdr:rowOff>
    </xdr:to>
    <xdr:graphicFrame macro="">
      <xdr:nvGraphicFramePr>
        <xdr:cNvPr id="3" name="Chart 2">
          <a:extLst>
            <a:ext uri="{FF2B5EF4-FFF2-40B4-BE49-F238E27FC236}">
              <a16:creationId xmlns:a16="http://schemas.microsoft.com/office/drawing/2014/main" id="{FAE4F450-D690-A664-5EE1-05EA299BE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118563</xdr:colOff>
      <xdr:row>16</xdr:row>
      <xdr:rowOff>103108</xdr:rowOff>
    </xdr:from>
    <xdr:to>
      <xdr:col>5</xdr:col>
      <xdr:colOff>243121</xdr:colOff>
      <xdr:row>31</xdr:row>
      <xdr:rowOff>98712</xdr:rowOff>
    </xdr:to>
    <xdr:graphicFrame macro="">
      <xdr:nvGraphicFramePr>
        <xdr:cNvPr id="5" name="Chart 4">
          <a:extLst>
            <a:ext uri="{FF2B5EF4-FFF2-40B4-BE49-F238E27FC236}">
              <a16:creationId xmlns:a16="http://schemas.microsoft.com/office/drawing/2014/main" id="{D9EE6948-B2B6-EAE5-9C37-894EEEDA7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17</xdr:row>
      <xdr:rowOff>1210</xdr:rowOff>
    </xdr:from>
    <xdr:to>
      <xdr:col>5</xdr:col>
      <xdr:colOff>205619</xdr:colOff>
      <xdr:row>32</xdr:row>
      <xdr:rowOff>22982</xdr:rowOff>
    </xdr:to>
    <xdr:graphicFrame macro="">
      <xdr:nvGraphicFramePr>
        <xdr:cNvPr id="3" name="Chart 2">
          <a:extLst>
            <a:ext uri="{FF2B5EF4-FFF2-40B4-BE49-F238E27FC236}">
              <a16:creationId xmlns:a16="http://schemas.microsoft.com/office/drawing/2014/main" id="{317679DA-E80C-C5D3-4205-56C557085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211668</xdr:colOff>
      <xdr:row>16</xdr:row>
      <xdr:rowOff>61686</xdr:rowOff>
    </xdr:from>
    <xdr:to>
      <xdr:col>12</xdr:col>
      <xdr:colOff>550335</xdr:colOff>
      <xdr:row>31</xdr:row>
      <xdr:rowOff>83457</xdr:rowOff>
    </xdr:to>
    <xdr:graphicFrame macro="">
      <xdr:nvGraphicFramePr>
        <xdr:cNvPr id="7" name="Chart 6">
          <a:extLst>
            <a:ext uri="{FF2B5EF4-FFF2-40B4-BE49-F238E27FC236}">
              <a16:creationId xmlns:a16="http://schemas.microsoft.com/office/drawing/2014/main" id="{6DDE7986-BE9E-4F52-40D6-A036E6941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434051</xdr:colOff>
      <xdr:row>1</xdr:row>
      <xdr:rowOff>118640</xdr:rowOff>
    </xdr:from>
    <xdr:to>
      <xdr:col>11</xdr:col>
      <xdr:colOff>482279</xdr:colOff>
      <xdr:row>16</xdr:row>
      <xdr:rowOff>112853</xdr:rowOff>
    </xdr:to>
    <xdr:graphicFrame macro="">
      <xdr:nvGraphicFramePr>
        <xdr:cNvPr id="2" name="Chart 1">
          <a:extLst>
            <a:ext uri="{FF2B5EF4-FFF2-40B4-BE49-F238E27FC236}">
              <a16:creationId xmlns:a16="http://schemas.microsoft.com/office/drawing/2014/main" id="{48410D2C-9F44-5E4C-D383-A68B31380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116540</xdr:colOff>
      <xdr:row>26</xdr:row>
      <xdr:rowOff>49535</xdr:rowOff>
    </xdr:from>
    <xdr:to>
      <xdr:col>5</xdr:col>
      <xdr:colOff>618110</xdr:colOff>
      <xdr:row>41</xdr:row>
      <xdr:rowOff>43748</xdr:rowOff>
    </xdr:to>
    <xdr:graphicFrame macro="">
      <xdr:nvGraphicFramePr>
        <xdr:cNvPr id="3" name="Chart 2">
          <a:extLst>
            <a:ext uri="{FF2B5EF4-FFF2-40B4-BE49-F238E27FC236}">
              <a16:creationId xmlns:a16="http://schemas.microsoft.com/office/drawing/2014/main" id="{2BF7268C-84EE-E420-B7B2-9A122AFB9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135698</xdr:colOff>
      <xdr:row>20</xdr:row>
      <xdr:rowOff>58455</xdr:rowOff>
    </xdr:from>
    <xdr:to>
      <xdr:col>13</xdr:col>
      <xdr:colOff>469725</xdr:colOff>
      <xdr:row>34</xdr:row>
      <xdr:rowOff>171189</xdr:rowOff>
    </xdr:to>
    <xdr:graphicFrame macro="">
      <xdr:nvGraphicFramePr>
        <xdr:cNvPr id="4" name="Chart 3">
          <a:extLst>
            <a:ext uri="{FF2B5EF4-FFF2-40B4-BE49-F238E27FC236}">
              <a16:creationId xmlns:a16="http://schemas.microsoft.com/office/drawing/2014/main" id="{B67AB109-8016-BC67-A652-6C2EBB30B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31102</xdr:colOff>
      <xdr:row>10</xdr:row>
      <xdr:rowOff>139960</xdr:rowOff>
    </xdr:from>
    <xdr:to>
      <xdr:col>8</xdr:col>
      <xdr:colOff>15551</xdr:colOff>
      <xdr:row>27</xdr:row>
      <xdr:rowOff>31102</xdr:rowOff>
    </xdr:to>
    <xdr:graphicFrame macro="">
      <xdr:nvGraphicFramePr>
        <xdr:cNvPr id="2" name="Chart 1">
          <a:extLst>
            <a:ext uri="{FF2B5EF4-FFF2-40B4-BE49-F238E27FC236}">
              <a16:creationId xmlns:a16="http://schemas.microsoft.com/office/drawing/2014/main" id="{D57A4E23-8D5A-4D04-BD83-17BB7B84C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171061</xdr:colOff>
      <xdr:row>10</xdr:row>
      <xdr:rowOff>139960</xdr:rowOff>
    </xdr:from>
    <xdr:to>
      <xdr:col>18</xdr:col>
      <xdr:colOff>497632</xdr:colOff>
      <xdr:row>27</xdr:row>
      <xdr:rowOff>31102</xdr:rowOff>
    </xdr:to>
    <xdr:graphicFrame macro="">
      <xdr:nvGraphicFramePr>
        <xdr:cNvPr id="3" name="Chart 2">
          <a:extLst>
            <a:ext uri="{FF2B5EF4-FFF2-40B4-BE49-F238E27FC236}">
              <a16:creationId xmlns:a16="http://schemas.microsoft.com/office/drawing/2014/main" id="{DE7ADF39-C63D-4A27-825D-30742188F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31102</xdr:colOff>
      <xdr:row>27</xdr:row>
      <xdr:rowOff>139959</xdr:rowOff>
    </xdr:from>
    <xdr:to>
      <xdr:col>8</xdr:col>
      <xdr:colOff>31102</xdr:colOff>
      <xdr:row>42</xdr:row>
      <xdr:rowOff>83975</xdr:rowOff>
    </xdr:to>
    <xdr:graphicFrame macro="">
      <xdr:nvGraphicFramePr>
        <xdr:cNvPr id="4" name="Chart 3">
          <a:extLst>
            <a:ext uri="{FF2B5EF4-FFF2-40B4-BE49-F238E27FC236}">
              <a16:creationId xmlns:a16="http://schemas.microsoft.com/office/drawing/2014/main" id="{A3A97568-964F-419C-933A-69591FD1F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202164</xdr:colOff>
      <xdr:row>27</xdr:row>
      <xdr:rowOff>155511</xdr:rowOff>
    </xdr:from>
    <xdr:to>
      <xdr:col>18</xdr:col>
      <xdr:colOff>450980</xdr:colOff>
      <xdr:row>42</xdr:row>
      <xdr:rowOff>46653</xdr:rowOff>
    </xdr:to>
    <xdr:graphicFrame macro="">
      <xdr:nvGraphicFramePr>
        <xdr:cNvPr id="5" name="Chart 4">
          <a:extLst>
            <a:ext uri="{FF2B5EF4-FFF2-40B4-BE49-F238E27FC236}">
              <a16:creationId xmlns:a16="http://schemas.microsoft.com/office/drawing/2014/main" id="{EC8E44A8-DAA1-48F0-BF0D-FD678410F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59639</xdr:colOff>
      <xdr:row>43</xdr:row>
      <xdr:rowOff>30050</xdr:rowOff>
    </xdr:from>
    <xdr:to>
      <xdr:col>18</xdr:col>
      <xdr:colOff>316302</xdr:colOff>
      <xdr:row>47</xdr:row>
      <xdr:rowOff>130097</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2C848CDE-A074-4AB2-80DA-2DDD35B4F3D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9639" y="8567560"/>
              <a:ext cx="11173479" cy="846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SC" refreshedDate="46079.634273611111" createdVersion="8" refreshedVersion="8" minRefreshableVersion="3" recordCount="50" xr:uid="{CD96E69C-424E-40EC-8879-624E9E5FACE0}">
  <cacheSource type="worksheet">
    <worksheetSource ref="A1:L51" sheet="Cleaned_Data"/>
  </cacheSource>
  <cacheFields count="12">
    <cacheField name="Student_ID" numFmtId="0">
      <sharedItems/>
    </cacheField>
    <cacheField name="Branch" numFmtId="0">
      <sharedItems count="5">
        <s v="CSE"/>
        <s v="ECE"/>
        <s v="MECH"/>
        <s v="MBA"/>
        <s v="CIVIL"/>
      </sharedItems>
    </cacheField>
    <cacheField name="CGPA" numFmtId="0">
      <sharedItems containsSemiMixedTypes="0" containsString="0" containsNumber="1" minValue="5.7" maxValue="9.4"/>
    </cacheField>
    <cacheField name="Internships" numFmtId="0">
      <sharedItems containsSemiMixedTypes="0" containsString="0" containsNumber="1" containsInteger="1" minValue="0" maxValue="3"/>
    </cacheField>
    <cacheField name="Skill_Count" numFmtId="0">
      <sharedItems containsSemiMixedTypes="0" containsString="0" containsNumber="1" containsInteger="1" minValue="1" maxValue="7"/>
    </cacheField>
    <cacheField name="Skill_Names" numFmtId="0">
      <sharedItems/>
    </cacheField>
    <cacheField name="Placed" numFmtId="0">
      <sharedItems count="2">
        <s v="Yes"/>
        <s v="No"/>
      </sharedItems>
    </cacheField>
    <cacheField name="Salary" numFmtId="164">
      <sharedItems containsSemiMixedTypes="0" containsString="0" containsNumber="1" minValue="0" maxValue="18.5"/>
    </cacheField>
    <cacheField name="Company_Tier" numFmtId="0">
      <sharedItems/>
    </cacheField>
    <cacheField name="Offer_Count" numFmtId="0">
      <sharedItems containsSemiMixedTypes="0" containsString="0" containsNumber="1" containsInteger="1" minValue="0" maxValue="4"/>
    </cacheField>
    <cacheField name="CGPA_Category" numFmtId="0">
      <sharedItems count="5">
        <s v="Outstanding"/>
        <s v="Excellent"/>
        <s v="Good"/>
        <s v="Average"/>
        <s v="Below Average"/>
      </sharedItems>
    </cacheField>
    <cacheField name="Internship_level" numFmtId="0">
      <sharedItems count="4">
        <s v="Three or More"/>
        <s v="Two Internships"/>
        <s v="One Internship"/>
        <s v="No Internship"/>
      </sharedItems>
    </cacheField>
  </cacheFields>
  <extLst>
    <ext xmlns:x14="http://schemas.microsoft.com/office/spreadsheetml/2009/9/main" uri="{725AE2AE-9491-48be-B2B4-4EB974FC3084}">
      <x14:pivotCacheDefinition pivotCacheId="1100337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001"/>
    <x v="0"/>
    <n v="9.1"/>
    <n v="3"/>
    <n v="6"/>
    <s v="Python|SQL|ML|DSA|Java|Tableau"/>
    <x v="0"/>
    <n v="12.5"/>
    <s v="Tier1"/>
    <n v="3"/>
    <x v="0"/>
    <x v="0"/>
  </r>
  <r>
    <s v="S002"/>
    <x v="0"/>
    <n v="8.6999999999999993"/>
    <n v="2"/>
    <n v="5"/>
    <s v="Python|SQL|DSA|Java|React"/>
    <x v="0"/>
    <n v="9.8000000000000007"/>
    <s v="Tier1"/>
    <n v="2"/>
    <x v="1"/>
    <x v="1"/>
  </r>
  <r>
    <s v="S003"/>
    <x v="0"/>
    <n v="7.2"/>
    <n v="1"/>
    <n v="3"/>
    <s v="Java|DSA|C++"/>
    <x v="0"/>
    <n v="5.5"/>
    <s v="Tier2"/>
    <n v="1"/>
    <x v="2"/>
    <x v="2"/>
  </r>
  <r>
    <s v="S004"/>
    <x v="0"/>
    <n v="6.5"/>
    <n v="0"/>
    <n v="2"/>
    <s v="Java|C++"/>
    <x v="1"/>
    <n v="0"/>
    <s v="None"/>
    <n v="0"/>
    <x v="3"/>
    <x v="3"/>
  </r>
  <r>
    <s v="S005"/>
    <x v="0"/>
    <n v="8.9"/>
    <n v="3"/>
    <n v="6"/>
    <s v="Python|ML|SQL|Tableau|Power BI|DSA"/>
    <x v="0"/>
    <n v="14.2"/>
    <s v="Tier1"/>
    <n v="3"/>
    <x v="1"/>
    <x v="0"/>
  </r>
  <r>
    <s v="S006"/>
    <x v="0"/>
    <n v="5.8"/>
    <n v="0"/>
    <n v="1"/>
    <s v="C++"/>
    <x v="1"/>
    <n v="0"/>
    <s v="None"/>
    <n v="0"/>
    <x v="4"/>
    <x v="3"/>
  </r>
  <r>
    <s v="S007"/>
    <x v="0"/>
    <n v="7.8"/>
    <n v="2"/>
    <n v="4"/>
    <s v="Python|SQL|Java|DSA"/>
    <x v="0"/>
    <n v="7.2"/>
    <s v="Tier2"/>
    <n v="1"/>
    <x v="2"/>
    <x v="1"/>
  </r>
  <r>
    <s v="S008"/>
    <x v="0"/>
    <n v="9.4"/>
    <n v="3"/>
    <n v="7"/>
    <s v="Python|ML|AI|SQL|DSA|Java|Cloud"/>
    <x v="0"/>
    <n v="18.5"/>
    <s v="Tier1"/>
    <n v="4"/>
    <x v="0"/>
    <x v="0"/>
  </r>
  <r>
    <s v="S009"/>
    <x v="0"/>
    <n v="6.1"/>
    <n v="1"/>
    <n v="2"/>
    <s v="Java|C++"/>
    <x v="1"/>
    <n v="0"/>
    <s v="None"/>
    <n v="0"/>
    <x v="3"/>
    <x v="2"/>
  </r>
  <r>
    <s v="S010"/>
    <x v="0"/>
    <n v="7.5"/>
    <n v="1"/>
    <n v="3"/>
    <s v="Python|SQL|DSA"/>
    <x v="0"/>
    <n v="6.8"/>
    <s v="Tier2"/>
    <n v="1"/>
    <x v="2"/>
    <x v="2"/>
  </r>
  <r>
    <s v="S011"/>
    <x v="1"/>
    <n v="8.1999999999999993"/>
    <n v="2"/>
    <n v="4"/>
    <s v="Embedded|VLSI|C|Python"/>
    <x v="0"/>
    <n v="7.5"/>
    <s v="Tier2"/>
    <n v="2"/>
    <x v="1"/>
    <x v="1"/>
  </r>
  <r>
    <s v="S012"/>
    <x v="1"/>
    <n v="7.6"/>
    <n v="1"/>
    <n v="3"/>
    <s v="Embedded|C|VLSI"/>
    <x v="0"/>
    <n v="5.2"/>
    <s v="Tier2"/>
    <n v="1"/>
    <x v="2"/>
    <x v="2"/>
  </r>
  <r>
    <s v="S013"/>
    <x v="1"/>
    <n v="6.3"/>
    <n v="0"/>
    <n v="2"/>
    <s v="C|Electronics"/>
    <x v="1"/>
    <n v="0"/>
    <s v="None"/>
    <n v="0"/>
    <x v="3"/>
    <x v="3"/>
  </r>
  <r>
    <s v="S014"/>
    <x v="1"/>
    <n v="8.8000000000000007"/>
    <n v="3"/>
    <n v="5"/>
    <s v="Python|Embedded|VLSI|IoT|C"/>
    <x v="0"/>
    <n v="9.1999999999999993"/>
    <s v="Tier1"/>
    <n v="2"/>
    <x v="1"/>
    <x v="0"/>
  </r>
  <r>
    <s v="S015"/>
    <x v="1"/>
    <n v="5.9"/>
    <n v="0"/>
    <n v="1"/>
    <s v="Electronics"/>
    <x v="1"/>
    <n v="0"/>
    <s v="None"/>
    <n v="0"/>
    <x v="4"/>
    <x v="3"/>
  </r>
  <r>
    <s v="S016"/>
    <x v="1"/>
    <n v="7.1"/>
    <n v="1"/>
    <n v="3"/>
    <s v="C|Python|Embedded"/>
    <x v="0"/>
    <n v="5.8"/>
    <s v="Tier2"/>
    <n v="1"/>
    <x v="2"/>
    <x v="2"/>
  </r>
  <r>
    <s v="S017"/>
    <x v="1"/>
    <n v="9"/>
    <n v="3"/>
    <n v="5"/>
    <s v="VLSI|Embedded|Python|IoT|C"/>
    <x v="0"/>
    <n v="11.5"/>
    <s v="Tier1"/>
    <n v="3"/>
    <x v="0"/>
    <x v="0"/>
  </r>
  <r>
    <s v="S018"/>
    <x v="1"/>
    <n v="6.8"/>
    <n v="1"/>
    <n v="2"/>
    <s v="C|Electronics"/>
    <x v="1"/>
    <n v="0"/>
    <s v="None"/>
    <n v="0"/>
    <x v="3"/>
    <x v="2"/>
  </r>
  <r>
    <s v="S019"/>
    <x v="1"/>
    <n v="7.4"/>
    <n v="2"/>
    <n v="3"/>
    <s v="Embedded|Python|C"/>
    <x v="0"/>
    <n v="6.1"/>
    <s v="Tier2"/>
    <n v="1"/>
    <x v="2"/>
    <x v="1"/>
  </r>
  <r>
    <s v="S020"/>
    <x v="1"/>
    <n v="8.5"/>
    <n v="2"/>
    <n v="4"/>
    <s v="VLSI|Embedded|Python|IoT"/>
    <x v="0"/>
    <n v="8.8000000000000007"/>
    <s v="Tier1"/>
    <n v="2"/>
    <x v="1"/>
    <x v="1"/>
  </r>
  <r>
    <s v="S021"/>
    <x v="2"/>
    <n v="7.8"/>
    <n v="2"/>
    <n v="3"/>
    <s v="AutoCAD|SolidWorks|MATLAB"/>
    <x v="0"/>
    <n v="5.5"/>
    <s v="Tier2"/>
    <n v="1"/>
    <x v="2"/>
    <x v="1"/>
  </r>
  <r>
    <s v="S022"/>
    <x v="2"/>
    <n v="6.4"/>
    <n v="0"/>
    <n v="2"/>
    <s v="AutoCAD|MATLAB"/>
    <x v="1"/>
    <n v="0"/>
    <s v="None"/>
    <n v="0"/>
    <x v="3"/>
    <x v="3"/>
  </r>
  <r>
    <s v="S023"/>
    <x v="2"/>
    <n v="8.1"/>
    <n v="2"/>
    <n v="4"/>
    <s v="AutoCAD|SolidWorks|MATLAB|Python"/>
    <x v="0"/>
    <n v="6.8"/>
    <s v="Tier2"/>
    <n v="2"/>
    <x v="1"/>
    <x v="1"/>
  </r>
  <r>
    <s v="S024"/>
    <x v="2"/>
    <n v="5.7"/>
    <n v="0"/>
    <n v="1"/>
    <s v="AutoCAD"/>
    <x v="1"/>
    <n v="0"/>
    <s v="None"/>
    <n v="0"/>
    <x v="4"/>
    <x v="3"/>
  </r>
  <r>
    <s v="S025"/>
    <x v="2"/>
    <n v="7.2"/>
    <n v="1"/>
    <n v="3"/>
    <s v="SolidWorks|MATLAB|AutoCAD"/>
    <x v="0"/>
    <n v="5.0999999999999996"/>
    <s v="Tier2"/>
    <n v="1"/>
    <x v="2"/>
    <x v="2"/>
  </r>
  <r>
    <s v="S026"/>
    <x v="2"/>
    <n v="8.6"/>
    <n v="3"/>
    <n v="4"/>
    <s v="AutoCAD|SolidWorks|Python|MATLAB"/>
    <x v="0"/>
    <n v="8.1999999999999993"/>
    <s v="Tier1"/>
    <n v="2"/>
    <x v="1"/>
    <x v="0"/>
  </r>
  <r>
    <s v="S027"/>
    <x v="2"/>
    <n v="6.9"/>
    <n v="1"/>
    <n v="2"/>
    <s v="AutoCAD|MATLAB"/>
    <x v="1"/>
    <n v="0"/>
    <s v="None"/>
    <n v="0"/>
    <x v="3"/>
    <x v="2"/>
  </r>
  <r>
    <s v="S028"/>
    <x v="2"/>
    <n v="9.1999999999999993"/>
    <n v="3"/>
    <n v="5"/>
    <s v="Python|AutoCAD|SolidWorks|MATLAB|FEA"/>
    <x v="0"/>
    <n v="10.5"/>
    <s v="Tier1"/>
    <n v="3"/>
    <x v="0"/>
    <x v="0"/>
  </r>
  <r>
    <s v="S029"/>
    <x v="2"/>
    <n v="7"/>
    <n v="1"/>
    <n v="2"/>
    <s v="AutoCAD|SolidWorks"/>
    <x v="0"/>
    <n v="4.8"/>
    <s v="Tier3"/>
    <n v="1"/>
    <x v="2"/>
    <x v="2"/>
  </r>
  <r>
    <s v="S030"/>
    <x v="2"/>
    <n v="6.2"/>
    <n v="0"/>
    <n v="1"/>
    <s v="AutoCAD"/>
    <x v="1"/>
    <n v="0"/>
    <s v="None"/>
    <n v="0"/>
    <x v="3"/>
    <x v="3"/>
  </r>
  <r>
    <s v="S031"/>
    <x v="3"/>
    <n v="8.4"/>
    <n v="2"/>
    <n v="4"/>
    <s v="Excel|PowerBI|SQL|Communication"/>
    <x v="0"/>
    <n v="9.5"/>
    <s v="Tier1"/>
    <n v="2"/>
    <x v="1"/>
    <x v="1"/>
  </r>
  <r>
    <s v="S032"/>
    <x v="3"/>
    <n v="7.6"/>
    <n v="1"/>
    <n v="3"/>
    <s v="Excel|PowerBI|Communication"/>
    <x v="0"/>
    <n v="7.2"/>
    <s v="Tier2"/>
    <n v="1"/>
    <x v="2"/>
    <x v="2"/>
  </r>
  <r>
    <s v="S033"/>
    <x v="3"/>
    <n v="6.8"/>
    <n v="0"/>
    <n v="2"/>
    <s v="Excel|Communication"/>
    <x v="1"/>
    <n v="0"/>
    <s v="None"/>
    <n v="0"/>
    <x v="3"/>
    <x v="3"/>
  </r>
  <r>
    <s v="S034"/>
    <x v="3"/>
    <n v="8.9"/>
    <n v="3"/>
    <n v="5"/>
    <s v="SQL|PowerBI|Excel|Tableau|Finance"/>
    <x v="0"/>
    <n v="12"/>
    <s v="Tier1"/>
    <n v="3"/>
    <x v="1"/>
    <x v="0"/>
  </r>
  <r>
    <s v="S035"/>
    <x v="3"/>
    <n v="7.1"/>
    <n v="1"/>
    <n v="3"/>
    <s v="Excel|Finance|Communication"/>
    <x v="0"/>
    <n v="6.5"/>
    <s v="Tier2"/>
    <n v="1"/>
    <x v="2"/>
    <x v="2"/>
  </r>
  <r>
    <s v="S036"/>
    <x v="3"/>
    <n v="9.1"/>
    <n v="3"/>
    <n v="6"/>
    <s v="SQL|PowerBI|Tableau|Excel|Finance|Strategy"/>
    <x v="0"/>
    <n v="15"/>
    <s v="Tier1"/>
    <n v="3"/>
    <x v="0"/>
    <x v="0"/>
  </r>
  <r>
    <s v="S037"/>
    <x v="3"/>
    <n v="6.5"/>
    <n v="0"/>
    <n v="2"/>
    <s v="Excel|Communication"/>
    <x v="1"/>
    <n v="0"/>
    <s v="None"/>
    <n v="0"/>
    <x v="3"/>
    <x v="3"/>
  </r>
  <r>
    <s v="S038"/>
    <x v="3"/>
    <n v="7.8"/>
    <n v="2"/>
    <n v="4"/>
    <s v="SQL|Excel|PowerBI|Finance"/>
    <x v="0"/>
    <n v="8.8000000000000007"/>
    <s v="Tier2"/>
    <n v="2"/>
    <x v="2"/>
    <x v="1"/>
  </r>
  <r>
    <s v="S039"/>
    <x v="3"/>
    <n v="5.9"/>
    <n v="0"/>
    <n v="1"/>
    <s v="Excel"/>
    <x v="1"/>
    <n v="0"/>
    <s v="None"/>
    <n v="0"/>
    <x v="4"/>
    <x v="3"/>
  </r>
  <r>
    <s v="S040"/>
    <x v="3"/>
    <n v="8.1999999999999993"/>
    <n v="2"/>
    <n v="4"/>
    <s v="PowerBI|SQL|Tableau|Finance"/>
    <x v="0"/>
    <n v="10.199999999999999"/>
    <s v="Tier1"/>
    <n v="2"/>
    <x v="1"/>
    <x v="1"/>
  </r>
  <r>
    <s v="S041"/>
    <x v="4"/>
    <n v="7.5"/>
    <n v="1"/>
    <n v="3"/>
    <s v="AutoCAD|STAAD|Revit"/>
    <x v="0"/>
    <n v="4.5"/>
    <s v="Tier3"/>
    <n v="1"/>
    <x v="2"/>
    <x v="2"/>
  </r>
  <r>
    <s v="S042"/>
    <x v="4"/>
    <n v="6.3"/>
    <n v="0"/>
    <n v="2"/>
    <s v="AutoCAD|STAAD"/>
    <x v="1"/>
    <n v="0"/>
    <s v="None"/>
    <n v="0"/>
    <x v="3"/>
    <x v="3"/>
  </r>
  <r>
    <s v="S043"/>
    <x v="4"/>
    <n v="8"/>
    <n v="2"/>
    <n v="4"/>
    <s v="AutoCAD|STAAD|Revit|Python"/>
    <x v="0"/>
    <n v="6.2"/>
    <s v="Tier2"/>
    <n v="2"/>
    <x v="1"/>
    <x v="1"/>
  </r>
  <r>
    <s v="S044"/>
    <x v="4"/>
    <n v="5.8"/>
    <n v="0"/>
    <n v="1"/>
    <s v="AutoCAD"/>
    <x v="1"/>
    <n v="0"/>
    <s v="None"/>
    <n v="0"/>
    <x v="4"/>
    <x v="3"/>
  </r>
  <r>
    <s v="S045"/>
    <x v="4"/>
    <n v="7.2"/>
    <n v="1"/>
    <n v="3"/>
    <s v="STAAD|Revit|AutoCAD"/>
    <x v="0"/>
    <n v="4.8"/>
    <s v="Tier3"/>
    <n v="1"/>
    <x v="2"/>
    <x v="2"/>
  </r>
  <r>
    <s v="S046"/>
    <x v="4"/>
    <n v="8.5"/>
    <n v="3"/>
    <n v="4"/>
    <s v="AutoCAD|STAAD|Revit|GIS"/>
    <x v="0"/>
    <n v="7.5"/>
    <s v="Tier2"/>
    <n v="2"/>
    <x v="1"/>
    <x v="0"/>
  </r>
  <r>
    <s v="S047"/>
    <x v="4"/>
    <n v="6.7"/>
    <n v="0"/>
    <n v="2"/>
    <s v="AutoCAD|STAAD"/>
    <x v="1"/>
    <n v="0"/>
    <s v="None"/>
    <n v="0"/>
    <x v="3"/>
    <x v="3"/>
  </r>
  <r>
    <s v="S048"/>
    <x v="4"/>
    <n v="9"/>
    <n v="3"/>
    <n v="5"/>
    <s v="Python|AutoCAD|STAAD|Revit|GIS"/>
    <x v="0"/>
    <n v="9"/>
    <s v="Tier1"/>
    <n v="2"/>
    <x v="0"/>
    <x v="0"/>
  </r>
  <r>
    <s v="S049"/>
    <x v="4"/>
    <n v="7"/>
    <n v="1"/>
    <n v="2"/>
    <s v="AutoCAD|Revit"/>
    <x v="0"/>
    <n v="4.2"/>
    <s v="Tier3"/>
    <n v="1"/>
    <x v="2"/>
    <x v="2"/>
  </r>
  <r>
    <s v="S050"/>
    <x v="4"/>
    <n v="6.1"/>
    <n v="0"/>
    <n v="1"/>
    <s v="AutoCAD"/>
    <x v="1"/>
    <n v="0"/>
    <s v="None"/>
    <n v="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3A9FB-0C43-47D6-BF7C-F9FA315555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2">
    <pivotField dataField="1" showAll="0"/>
    <pivotField showAll="0">
      <items count="6">
        <item h="1" x="4"/>
        <item x="0"/>
        <item h="1" x="1"/>
        <item h="1" x="3"/>
        <item h="1" x="2"/>
        <item t="default"/>
      </items>
    </pivotField>
    <pivotField showAll="0"/>
    <pivotField showAll="0"/>
    <pivotField showAll="0"/>
    <pivotField showAll="0"/>
    <pivotField axis="axisCol" showAll="0">
      <items count="3">
        <item x="1"/>
        <item x="0"/>
        <item t="default"/>
      </items>
    </pivotField>
    <pivotField numFmtId="164" showAll="0"/>
    <pivotField showAll="0"/>
    <pivotField showAll="0"/>
    <pivotField axis="axisRow" showAll="0">
      <items count="6">
        <item x="3"/>
        <item x="4"/>
        <item x="1"/>
        <item x="2"/>
        <item x="0"/>
        <item t="default"/>
      </items>
    </pivotField>
    <pivotField showAll="0"/>
  </pivotFields>
  <rowFields count="1">
    <field x="10"/>
  </rowFields>
  <rowItems count="6">
    <i>
      <x/>
    </i>
    <i>
      <x v="1"/>
    </i>
    <i>
      <x v="2"/>
    </i>
    <i>
      <x v="3"/>
    </i>
    <i>
      <x v="4"/>
    </i>
    <i t="grand">
      <x/>
    </i>
  </rowItems>
  <colFields count="1">
    <field x="6"/>
  </colFields>
  <colItems count="3">
    <i>
      <x/>
    </i>
    <i>
      <x v="1"/>
    </i>
    <i t="grand">
      <x/>
    </i>
  </colItems>
  <dataFields count="1">
    <dataField name="Count of Student_ID" fld="0" subtotal="count" showDataAs="percentOfCol" baseField="0" baseItem="0" numFmtId="1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0BBE4-751A-4F05-BD6E-F09B4EEF24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12">
    <pivotField dataField="1" showAll="0"/>
    <pivotField showAll="0">
      <items count="6">
        <item h="1" x="4"/>
        <item x="0"/>
        <item h="1" x="1"/>
        <item h="1" x="3"/>
        <item h="1" x="2"/>
        <item t="default"/>
      </items>
    </pivotField>
    <pivotField showAll="0"/>
    <pivotField showAll="0"/>
    <pivotField showAll="0"/>
    <pivotField showAll="0"/>
    <pivotField axis="axisCol" showAll="0">
      <items count="3">
        <item x="1"/>
        <item x="0"/>
        <item t="default"/>
      </items>
    </pivotField>
    <pivotField numFmtId="164" showAll="0"/>
    <pivotField showAll="0"/>
    <pivotField showAll="0"/>
    <pivotField showAll="0"/>
    <pivotField axis="axisRow" showAll="0">
      <items count="5">
        <item x="3"/>
        <item x="2"/>
        <item x="0"/>
        <item x="1"/>
        <item t="default"/>
      </items>
    </pivotField>
  </pivotFields>
  <rowFields count="1">
    <field x="11"/>
  </rowFields>
  <rowItems count="5">
    <i>
      <x/>
    </i>
    <i>
      <x v="1"/>
    </i>
    <i>
      <x v="2"/>
    </i>
    <i>
      <x v="3"/>
    </i>
    <i t="grand">
      <x/>
    </i>
  </rowItems>
  <colFields count="1">
    <field x="6"/>
  </colFields>
  <colItems count="3">
    <i>
      <x/>
    </i>
    <i>
      <x v="1"/>
    </i>
    <i t="grand">
      <x/>
    </i>
  </colItems>
  <dataFields count="1">
    <dataField name="Count of Stud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451C3-0D95-4247-912B-CEC0EDE194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pivotFields count="12">
    <pivotField dataField="1" showAll="0"/>
    <pivotField axis="axisRow" showAll="0">
      <items count="6">
        <item h="1" x="4"/>
        <item x="0"/>
        <item h="1" x="1"/>
        <item h="1" x="3"/>
        <item h="1" x="2"/>
        <item t="default"/>
      </items>
    </pivotField>
    <pivotField showAll="0"/>
    <pivotField showAll="0"/>
    <pivotField showAll="0"/>
    <pivotField showAll="0"/>
    <pivotField axis="axisCol" showAll="0">
      <items count="3">
        <item x="1"/>
        <item x="0"/>
        <item t="default"/>
      </items>
    </pivotField>
    <pivotField numFmtId="164" showAll="0"/>
    <pivotField showAll="0"/>
    <pivotField showAll="0"/>
    <pivotField showAll="0"/>
    <pivotField showAll="0"/>
  </pivotFields>
  <rowFields count="1">
    <field x="1"/>
  </rowFields>
  <rowItems count="2">
    <i>
      <x v="1"/>
    </i>
    <i t="grand">
      <x/>
    </i>
  </rowItems>
  <colFields count="1">
    <field x="6"/>
  </colFields>
  <colItems count="3">
    <i>
      <x/>
    </i>
    <i>
      <x v="1"/>
    </i>
    <i t="grand">
      <x/>
    </i>
  </colItems>
  <dataFields count="1">
    <dataField name="Count of Stud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9F632-FDEA-4A5C-B9EB-C8DDDCFAF7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12">
    <pivotField showAll="0"/>
    <pivotField axis="axisRow" showAll="0">
      <items count="6">
        <item h="1" x="4"/>
        <item x="0"/>
        <item h="1" x="1"/>
        <item h="1" x="3"/>
        <item h="1" x="2"/>
        <item t="default"/>
      </items>
    </pivotField>
    <pivotField showAll="0"/>
    <pivotField showAll="0"/>
    <pivotField showAll="0"/>
    <pivotField showAll="0"/>
    <pivotField showAll="0"/>
    <pivotField dataField="1" numFmtId="164" showAll="0"/>
    <pivotField showAll="0"/>
    <pivotField showAll="0"/>
    <pivotField showAll="0"/>
    <pivotField showAll="0"/>
  </pivotFields>
  <rowFields count="1">
    <field x="1"/>
  </rowFields>
  <rowItems count="2">
    <i>
      <x v="1"/>
    </i>
    <i t="grand">
      <x/>
    </i>
  </rowItems>
  <colItems count="1">
    <i/>
  </colItems>
  <dataFields count="1">
    <dataField name="Average of Salary" fld="7" subtotal="average"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4306CC5-25D9-44C8-A8AC-4C9878B31C48}" sourceName="Branch">
  <pivotTables>
    <pivotTable tabId="4" name="PivotTable1"/>
    <pivotTable tabId="8" name="PivotTable2"/>
    <pivotTable tabId="6" name="PivotTable1"/>
    <pivotTable tabId="8" name="PivotTable3"/>
  </pivotTables>
  <data>
    <tabular pivotCacheId="1100337232">
      <items count="5">
        <i x="4"/>
        <i x="0"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8BA028E-586D-42DD-BD42-63B4E52B4933}" cache="Slicer_Branch" caption="Branch" columnCount="5"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886654-4A4B-4D5D-B580-C7DEBF86CEF0}" name="FactStudent" displayName="FactStudent" ref="A1:L51" totalsRowShown="0" headerRowDxfId="1">
  <autoFilter ref="A1:L51" xr:uid="{4D886654-4A4B-4D5D-B580-C7DEBF86CEF0}"/>
  <tableColumns count="12">
    <tableColumn id="1" xr3:uid="{4F3E4AD9-9A07-48D0-8147-945B3511A63C}" name="Student_ID"/>
    <tableColumn id="2" xr3:uid="{B93F64FE-EAF5-4F28-8AB2-FA67487F01B3}" name="Branch"/>
    <tableColumn id="3" xr3:uid="{6128B413-E604-4D10-90DD-13CB535274B8}" name="CGPA"/>
    <tableColumn id="4" xr3:uid="{3FAA6E81-522D-495A-B5A1-C6BA22E17121}" name="Internships"/>
    <tableColumn id="5" xr3:uid="{CE1B1F09-D26D-487E-B3AE-FEB93C34BB7E}" name="Skill_Count"/>
    <tableColumn id="6" xr3:uid="{6C0F84BB-E24C-423D-98FD-25527B485712}" name="Skill_Names"/>
    <tableColumn id="7" xr3:uid="{ED241717-4792-4AF9-8157-F41543B61052}" name="Placed"/>
    <tableColumn id="8" xr3:uid="{0EA47983-ADD1-4AAD-B900-0177AE2A0C7A}" name="Salary" dataDxfId="0"/>
    <tableColumn id="9" xr3:uid="{198CCEA7-2D56-4A60-8F43-F84B46840A3C}" name="Company_Tier"/>
    <tableColumn id="10" xr3:uid="{769D57C7-B288-42EC-A8BE-2AEC80C4731E}" name="Offer_Count"/>
    <tableColumn id="11" xr3:uid="{6A90C041-BF37-4EA3-8380-827FCE053100}" name="CGPA_Category">
      <calculatedColumnFormula>IF(C2&gt;=9,"Outstanding",IF(C2&gt;=8,"Excellent",IF(C2&gt;=7,"Good",IF(C2&gt;=6,"Average","Below Average"))))</calculatedColumnFormula>
    </tableColumn>
    <tableColumn id="12" xr3:uid="{808B7557-F854-47B5-BE76-50E770C258C0}" name="Internship_level">
      <calculatedColumnFormula>IF(D2=0,"No Internship",IF(D2=1,"One Internship",IF(D2=2,"Two Internships","Three or More")))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3623-EC78-4F1D-B157-095B7BA41EE6}">
  <dimension ref="A1:J51"/>
  <sheetViews>
    <sheetView workbookViewId="0">
      <pane ySplit="1" topLeftCell="A2" activePane="bottomLeft" state="frozen"/>
      <selection pane="bottomLeft" sqref="A1:J51"/>
    </sheetView>
  </sheetViews>
  <sheetFormatPr defaultRowHeight="14.4" x14ac:dyDescent="0.3"/>
  <cols>
    <col min="1" max="1" width="10.44140625" bestFit="1" customWidth="1"/>
    <col min="2" max="2" width="6.88671875" bestFit="1" customWidth="1"/>
    <col min="4" max="4" width="9.88671875" bestFit="1" customWidth="1"/>
    <col min="5" max="5" width="10" bestFit="1" customWidth="1"/>
    <col min="6" max="6" width="10.77734375" bestFit="1" customWidth="1"/>
    <col min="9" max="9" width="12.77734375" bestFit="1" customWidth="1"/>
    <col min="10" max="10" width="11.441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9.1</v>
      </c>
      <c r="D2">
        <v>3</v>
      </c>
      <c r="E2">
        <v>6</v>
      </c>
      <c r="F2" t="s">
        <v>12</v>
      </c>
      <c r="G2" t="s">
        <v>13</v>
      </c>
      <c r="H2">
        <v>12.5</v>
      </c>
      <c r="I2" t="s">
        <v>14</v>
      </c>
      <c r="J2">
        <v>3</v>
      </c>
    </row>
    <row r="3" spans="1:10" x14ac:dyDescent="0.3">
      <c r="A3" t="s">
        <v>15</v>
      </c>
      <c r="B3" t="s">
        <v>11</v>
      </c>
      <c r="C3">
        <v>8.6999999999999993</v>
      </c>
      <c r="D3">
        <v>2</v>
      </c>
      <c r="E3">
        <v>5</v>
      </c>
      <c r="F3" t="s">
        <v>16</v>
      </c>
      <c r="G3" t="s">
        <v>13</v>
      </c>
      <c r="H3">
        <v>9.8000000000000007</v>
      </c>
      <c r="I3" t="s">
        <v>14</v>
      </c>
      <c r="J3">
        <v>2</v>
      </c>
    </row>
    <row r="4" spans="1:10" x14ac:dyDescent="0.3">
      <c r="A4" t="s">
        <v>17</v>
      </c>
      <c r="B4" t="s">
        <v>11</v>
      </c>
      <c r="C4">
        <v>7.2</v>
      </c>
      <c r="D4">
        <v>1</v>
      </c>
      <c r="E4">
        <v>3</v>
      </c>
      <c r="F4" t="s">
        <v>18</v>
      </c>
      <c r="G4" t="s">
        <v>13</v>
      </c>
      <c r="H4">
        <v>5.5</v>
      </c>
      <c r="I4" t="s">
        <v>19</v>
      </c>
      <c r="J4">
        <v>1</v>
      </c>
    </row>
    <row r="5" spans="1:10" x14ac:dyDescent="0.3">
      <c r="A5" t="s">
        <v>20</v>
      </c>
      <c r="B5" t="s">
        <v>11</v>
      </c>
      <c r="C5">
        <v>6.5</v>
      </c>
      <c r="D5">
        <v>0</v>
      </c>
      <c r="E5">
        <v>2</v>
      </c>
      <c r="F5" t="s">
        <v>21</v>
      </c>
      <c r="G5" t="s">
        <v>22</v>
      </c>
      <c r="H5">
        <v>0</v>
      </c>
      <c r="I5" t="s">
        <v>23</v>
      </c>
      <c r="J5">
        <v>0</v>
      </c>
    </row>
    <row r="6" spans="1:10" x14ac:dyDescent="0.3">
      <c r="A6" t="s">
        <v>24</v>
      </c>
      <c r="B6" t="s">
        <v>11</v>
      </c>
      <c r="C6">
        <v>8.9</v>
      </c>
      <c r="D6">
        <v>3</v>
      </c>
      <c r="E6">
        <v>6</v>
      </c>
      <c r="F6" t="s">
        <v>25</v>
      </c>
      <c r="G6" t="s">
        <v>13</v>
      </c>
      <c r="H6">
        <v>14.2</v>
      </c>
      <c r="I6" t="s">
        <v>14</v>
      </c>
      <c r="J6">
        <v>3</v>
      </c>
    </row>
    <row r="7" spans="1:10" x14ac:dyDescent="0.3">
      <c r="A7" t="s">
        <v>26</v>
      </c>
      <c r="B7" t="s">
        <v>11</v>
      </c>
      <c r="C7">
        <v>5.8</v>
      </c>
      <c r="D7">
        <v>0</v>
      </c>
      <c r="E7">
        <v>1</v>
      </c>
      <c r="F7" t="s">
        <v>27</v>
      </c>
      <c r="G7" t="s">
        <v>22</v>
      </c>
      <c r="H7">
        <v>0</v>
      </c>
      <c r="I7" t="s">
        <v>23</v>
      </c>
      <c r="J7">
        <v>0</v>
      </c>
    </row>
    <row r="8" spans="1:10" x14ac:dyDescent="0.3">
      <c r="A8" t="s">
        <v>28</v>
      </c>
      <c r="B8" t="s">
        <v>11</v>
      </c>
      <c r="C8">
        <v>7.8</v>
      </c>
      <c r="D8">
        <v>2</v>
      </c>
      <c r="E8">
        <v>4</v>
      </c>
      <c r="F8" t="s">
        <v>29</v>
      </c>
      <c r="G8" t="s">
        <v>13</v>
      </c>
      <c r="H8">
        <v>7.2</v>
      </c>
      <c r="I8" t="s">
        <v>19</v>
      </c>
      <c r="J8">
        <v>1</v>
      </c>
    </row>
    <row r="9" spans="1:10" x14ac:dyDescent="0.3">
      <c r="A9" t="s">
        <v>30</v>
      </c>
      <c r="B9" t="s">
        <v>11</v>
      </c>
      <c r="C9">
        <v>9.4</v>
      </c>
      <c r="D9">
        <v>3</v>
      </c>
      <c r="E9">
        <v>7</v>
      </c>
      <c r="F9" t="s">
        <v>31</v>
      </c>
      <c r="G9" t="s">
        <v>13</v>
      </c>
      <c r="H9">
        <v>18.5</v>
      </c>
      <c r="I9" t="s">
        <v>14</v>
      </c>
      <c r="J9">
        <v>4</v>
      </c>
    </row>
    <row r="10" spans="1:10" x14ac:dyDescent="0.3">
      <c r="A10" t="s">
        <v>32</v>
      </c>
      <c r="B10" t="s">
        <v>11</v>
      </c>
      <c r="C10">
        <v>6.1</v>
      </c>
      <c r="D10">
        <v>1</v>
      </c>
      <c r="E10">
        <v>2</v>
      </c>
      <c r="F10" t="s">
        <v>21</v>
      </c>
      <c r="G10" t="s">
        <v>22</v>
      </c>
      <c r="H10">
        <v>0</v>
      </c>
      <c r="I10" t="s">
        <v>23</v>
      </c>
      <c r="J10">
        <v>0</v>
      </c>
    </row>
    <row r="11" spans="1:10" x14ac:dyDescent="0.3">
      <c r="A11" t="s">
        <v>33</v>
      </c>
      <c r="B11" t="s">
        <v>11</v>
      </c>
      <c r="C11">
        <v>7.5</v>
      </c>
      <c r="D11">
        <v>1</v>
      </c>
      <c r="E11">
        <v>3</v>
      </c>
      <c r="F11" t="s">
        <v>34</v>
      </c>
      <c r="G11" t="s">
        <v>13</v>
      </c>
      <c r="H11">
        <v>6.8</v>
      </c>
      <c r="I11" t="s">
        <v>19</v>
      </c>
      <c r="J11">
        <v>1</v>
      </c>
    </row>
    <row r="12" spans="1:10" x14ac:dyDescent="0.3">
      <c r="A12" t="s">
        <v>35</v>
      </c>
      <c r="B12" t="s">
        <v>36</v>
      </c>
      <c r="C12">
        <v>8.1999999999999993</v>
      </c>
      <c r="D12">
        <v>2</v>
      </c>
      <c r="E12">
        <v>4</v>
      </c>
      <c r="F12" t="s">
        <v>37</v>
      </c>
      <c r="G12" t="s">
        <v>13</v>
      </c>
      <c r="H12">
        <v>7.5</v>
      </c>
      <c r="I12" t="s">
        <v>19</v>
      </c>
      <c r="J12">
        <v>2</v>
      </c>
    </row>
    <row r="13" spans="1:10" x14ac:dyDescent="0.3">
      <c r="A13" t="s">
        <v>38</v>
      </c>
      <c r="B13" t="s">
        <v>36</v>
      </c>
      <c r="C13">
        <v>7.6</v>
      </c>
      <c r="D13">
        <v>1</v>
      </c>
      <c r="E13">
        <v>3</v>
      </c>
      <c r="F13" t="s">
        <v>39</v>
      </c>
      <c r="G13" t="s">
        <v>13</v>
      </c>
      <c r="H13">
        <v>5.2</v>
      </c>
      <c r="I13" t="s">
        <v>19</v>
      </c>
      <c r="J13">
        <v>1</v>
      </c>
    </row>
    <row r="14" spans="1:10" x14ac:dyDescent="0.3">
      <c r="A14" t="s">
        <v>40</v>
      </c>
      <c r="B14" t="s">
        <v>36</v>
      </c>
      <c r="C14">
        <v>6.3</v>
      </c>
      <c r="D14">
        <v>0</v>
      </c>
      <c r="E14">
        <v>2</v>
      </c>
      <c r="F14" t="s">
        <v>41</v>
      </c>
      <c r="G14" t="s">
        <v>22</v>
      </c>
      <c r="H14">
        <v>0</v>
      </c>
      <c r="I14" t="s">
        <v>23</v>
      </c>
      <c r="J14">
        <v>0</v>
      </c>
    </row>
    <row r="15" spans="1:10" x14ac:dyDescent="0.3">
      <c r="A15" t="s">
        <v>42</v>
      </c>
      <c r="B15" t="s">
        <v>36</v>
      </c>
      <c r="C15">
        <v>8.8000000000000007</v>
      </c>
      <c r="D15">
        <v>3</v>
      </c>
      <c r="E15">
        <v>5</v>
      </c>
      <c r="F15" t="s">
        <v>43</v>
      </c>
      <c r="G15" t="s">
        <v>13</v>
      </c>
      <c r="H15">
        <v>9.1999999999999993</v>
      </c>
      <c r="I15" t="s">
        <v>14</v>
      </c>
      <c r="J15">
        <v>2</v>
      </c>
    </row>
    <row r="16" spans="1:10" x14ac:dyDescent="0.3">
      <c r="A16" t="s">
        <v>44</v>
      </c>
      <c r="B16" t="s">
        <v>36</v>
      </c>
      <c r="C16">
        <v>5.9</v>
      </c>
      <c r="D16">
        <v>0</v>
      </c>
      <c r="E16">
        <v>1</v>
      </c>
      <c r="F16" t="s">
        <v>45</v>
      </c>
      <c r="G16" t="s">
        <v>22</v>
      </c>
      <c r="H16">
        <v>0</v>
      </c>
      <c r="I16" t="s">
        <v>23</v>
      </c>
      <c r="J16">
        <v>0</v>
      </c>
    </row>
    <row r="17" spans="1:10" x14ac:dyDescent="0.3">
      <c r="A17" t="s">
        <v>46</v>
      </c>
      <c r="B17" t="s">
        <v>36</v>
      </c>
      <c r="C17">
        <v>7.1</v>
      </c>
      <c r="D17">
        <v>1</v>
      </c>
      <c r="E17">
        <v>3</v>
      </c>
      <c r="F17" t="s">
        <v>47</v>
      </c>
      <c r="G17" t="s">
        <v>13</v>
      </c>
      <c r="H17">
        <v>5.8</v>
      </c>
      <c r="I17" t="s">
        <v>19</v>
      </c>
      <c r="J17">
        <v>1</v>
      </c>
    </row>
    <row r="18" spans="1:10" x14ac:dyDescent="0.3">
      <c r="A18" t="s">
        <v>48</v>
      </c>
      <c r="B18" t="s">
        <v>36</v>
      </c>
      <c r="C18">
        <v>9</v>
      </c>
      <c r="D18">
        <v>3</v>
      </c>
      <c r="E18">
        <v>5</v>
      </c>
      <c r="F18" t="s">
        <v>49</v>
      </c>
      <c r="G18" t="s">
        <v>13</v>
      </c>
      <c r="H18">
        <v>11.5</v>
      </c>
      <c r="I18" t="s">
        <v>14</v>
      </c>
      <c r="J18">
        <v>3</v>
      </c>
    </row>
    <row r="19" spans="1:10" x14ac:dyDescent="0.3">
      <c r="A19" t="s">
        <v>50</v>
      </c>
      <c r="B19" t="s">
        <v>36</v>
      </c>
      <c r="C19">
        <v>6.8</v>
      </c>
      <c r="D19">
        <v>1</v>
      </c>
      <c r="E19">
        <v>2</v>
      </c>
      <c r="F19" t="s">
        <v>41</v>
      </c>
      <c r="G19" t="s">
        <v>22</v>
      </c>
      <c r="H19">
        <v>0</v>
      </c>
      <c r="I19" t="s">
        <v>23</v>
      </c>
      <c r="J19">
        <v>0</v>
      </c>
    </row>
    <row r="20" spans="1:10" x14ac:dyDescent="0.3">
      <c r="A20" t="s">
        <v>51</v>
      </c>
      <c r="B20" t="s">
        <v>36</v>
      </c>
      <c r="C20">
        <v>7.4</v>
      </c>
      <c r="D20">
        <v>2</v>
      </c>
      <c r="E20">
        <v>3</v>
      </c>
      <c r="F20" t="s">
        <v>52</v>
      </c>
      <c r="G20" t="s">
        <v>13</v>
      </c>
      <c r="H20">
        <v>6.1</v>
      </c>
      <c r="I20" t="s">
        <v>19</v>
      </c>
      <c r="J20">
        <v>1</v>
      </c>
    </row>
    <row r="21" spans="1:10" x14ac:dyDescent="0.3">
      <c r="A21" t="s">
        <v>53</v>
      </c>
      <c r="B21" t="s">
        <v>36</v>
      </c>
      <c r="C21">
        <v>8.5</v>
      </c>
      <c r="D21">
        <v>2</v>
      </c>
      <c r="E21">
        <v>4</v>
      </c>
      <c r="F21" t="s">
        <v>54</v>
      </c>
      <c r="G21" t="s">
        <v>13</v>
      </c>
      <c r="H21">
        <v>8.8000000000000007</v>
      </c>
      <c r="I21" t="s">
        <v>14</v>
      </c>
      <c r="J21">
        <v>2</v>
      </c>
    </row>
    <row r="22" spans="1:10" x14ac:dyDescent="0.3">
      <c r="A22" t="s">
        <v>55</v>
      </c>
      <c r="B22" t="s">
        <v>56</v>
      </c>
      <c r="C22">
        <v>7.8</v>
      </c>
      <c r="D22">
        <v>2</v>
      </c>
      <c r="E22">
        <v>3</v>
      </c>
      <c r="F22" t="s">
        <v>57</v>
      </c>
      <c r="G22" t="s">
        <v>13</v>
      </c>
      <c r="H22">
        <v>5.5</v>
      </c>
      <c r="I22" t="s">
        <v>19</v>
      </c>
      <c r="J22">
        <v>1</v>
      </c>
    </row>
    <row r="23" spans="1:10" x14ac:dyDescent="0.3">
      <c r="A23" t="s">
        <v>58</v>
      </c>
      <c r="B23" t="s">
        <v>56</v>
      </c>
      <c r="C23">
        <v>6.4</v>
      </c>
      <c r="D23">
        <v>0</v>
      </c>
      <c r="E23">
        <v>2</v>
      </c>
      <c r="F23" t="s">
        <v>59</v>
      </c>
      <c r="G23" t="s">
        <v>22</v>
      </c>
      <c r="H23">
        <v>0</v>
      </c>
      <c r="I23" t="s">
        <v>23</v>
      </c>
      <c r="J23">
        <v>0</v>
      </c>
    </row>
    <row r="24" spans="1:10" x14ac:dyDescent="0.3">
      <c r="A24" t="s">
        <v>60</v>
      </c>
      <c r="B24" t="s">
        <v>56</v>
      </c>
      <c r="C24">
        <v>8.1</v>
      </c>
      <c r="D24">
        <v>2</v>
      </c>
      <c r="E24">
        <v>4</v>
      </c>
      <c r="F24" t="s">
        <v>61</v>
      </c>
      <c r="G24" t="s">
        <v>13</v>
      </c>
      <c r="H24">
        <v>6.8</v>
      </c>
      <c r="I24" t="s">
        <v>19</v>
      </c>
      <c r="J24">
        <v>2</v>
      </c>
    </row>
    <row r="25" spans="1:10" x14ac:dyDescent="0.3">
      <c r="A25" t="s">
        <v>62</v>
      </c>
      <c r="B25" t="s">
        <v>56</v>
      </c>
      <c r="C25">
        <v>5.7</v>
      </c>
      <c r="D25">
        <v>0</v>
      </c>
      <c r="E25">
        <v>1</v>
      </c>
      <c r="F25" t="s">
        <v>63</v>
      </c>
      <c r="G25" t="s">
        <v>22</v>
      </c>
      <c r="H25">
        <v>0</v>
      </c>
      <c r="I25" t="s">
        <v>23</v>
      </c>
      <c r="J25">
        <v>0</v>
      </c>
    </row>
    <row r="26" spans="1:10" x14ac:dyDescent="0.3">
      <c r="A26" t="s">
        <v>64</v>
      </c>
      <c r="B26" t="s">
        <v>56</v>
      </c>
      <c r="C26">
        <v>7.2</v>
      </c>
      <c r="D26">
        <v>1</v>
      </c>
      <c r="E26">
        <v>3</v>
      </c>
      <c r="F26" t="s">
        <v>65</v>
      </c>
      <c r="G26" t="s">
        <v>13</v>
      </c>
      <c r="H26">
        <v>5.0999999999999996</v>
      </c>
      <c r="I26" t="s">
        <v>19</v>
      </c>
      <c r="J26">
        <v>1</v>
      </c>
    </row>
    <row r="27" spans="1:10" x14ac:dyDescent="0.3">
      <c r="A27" t="s">
        <v>66</v>
      </c>
      <c r="B27" t="s">
        <v>56</v>
      </c>
      <c r="C27">
        <v>8.6</v>
      </c>
      <c r="D27">
        <v>3</v>
      </c>
      <c r="E27">
        <v>4</v>
      </c>
      <c r="F27" t="s">
        <v>67</v>
      </c>
      <c r="G27" t="s">
        <v>13</v>
      </c>
      <c r="H27">
        <v>8.1999999999999993</v>
      </c>
      <c r="I27" t="s">
        <v>14</v>
      </c>
      <c r="J27">
        <v>2</v>
      </c>
    </row>
    <row r="28" spans="1:10" x14ac:dyDescent="0.3">
      <c r="A28" t="s">
        <v>68</v>
      </c>
      <c r="B28" t="s">
        <v>56</v>
      </c>
      <c r="C28">
        <v>6.9</v>
      </c>
      <c r="D28">
        <v>1</v>
      </c>
      <c r="E28">
        <v>2</v>
      </c>
      <c r="F28" t="s">
        <v>59</v>
      </c>
      <c r="G28" t="s">
        <v>22</v>
      </c>
      <c r="H28">
        <v>0</v>
      </c>
      <c r="I28" t="s">
        <v>23</v>
      </c>
      <c r="J28">
        <v>0</v>
      </c>
    </row>
    <row r="29" spans="1:10" x14ac:dyDescent="0.3">
      <c r="A29" t="s">
        <v>69</v>
      </c>
      <c r="B29" t="s">
        <v>56</v>
      </c>
      <c r="C29">
        <v>9.1999999999999993</v>
      </c>
      <c r="D29">
        <v>3</v>
      </c>
      <c r="E29">
        <v>5</v>
      </c>
      <c r="F29" t="s">
        <v>70</v>
      </c>
      <c r="G29" t="s">
        <v>13</v>
      </c>
      <c r="H29">
        <v>10.5</v>
      </c>
      <c r="I29" t="s">
        <v>14</v>
      </c>
      <c r="J29">
        <v>3</v>
      </c>
    </row>
    <row r="30" spans="1:10" x14ac:dyDescent="0.3">
      <c r="A30" t="s">
        <v>71</v>
      </c>
      <c r="B30" t="s">
        <v>56</v>
      </c>
      <c r="C30">
        <v>7</v>
      </c>
      <c r="D30">
        <v>1</v>
      </c>
      <c r="E30">
        <v>2</v>
      </c>
      <c r="F30" t="s">
        <v>72</v>
      </c>
      <c r="G30" t="s">
        <v>13</v>
      </c>
      <c r="H30">
        <v>4.8</v>
      </c>
      <c r="I30" t="s">
        <v>73</v>
      </c>
      <c r="J30">
        <v>1</v>
      </c>
    </row>
    <row r="31" spans="1:10" x14ac:dyDescent="0.3">
      <c r="A31" t="s">
        <v>74</v>
      </c>
      <c r="B31" t="s">
        <v>56</v>
      </c>
      <c r="C31">
        <v>6.2</v>
      </c>
      <c r="D31">
        <v>0</v>
      </c>
      <c r="E31">
        <v>1</v>
      </c>
      <c r="F31" t="s">
        <v>63</v>
      </c>
      <c r="G31" t="s">
        <v>22</v>
      </c>
      <c r="H31">
        <v>0</v>
      </c>
      <c r="I31" t="s">
        <v>23</v>
      </c>
      <c r="J31">
        <v>0</v>
      </c>
    </row>
    <row r="32" spans="1:10" x14ac:dyDescent="0.3">
      <c r="A32" t="s">
        <v>75</v>
      </c>
      <c r="B32" t="s">
        <v>76</v>
      </c>
      <c r="C32">
        <v>8.4</v>
      </c>
      <c r="D32">
        <v>2</v>
      </c>
      <c r="E32">
        <v>4</v>
      </c>
      <c r="F32" t="s">
        <v>77</v>
      </c>
      <c r="G32" t="s">
        <v>13</v>
      </c>
      <c r="H32">
        <v>9.5</v>
      </c>
      <c r="I32" t="s">
        <v>14</v>
      </c>
      <c r="J32">
        <v>2</v>
      </c>
    </row>
    <row r="33" spans="1:10" x14ac:dyDescent="0.3">
      <c r="A33" t="s">
        <v>78</v>
      </c>
      <c r="B33" t="s">
        <v>76</v>
      </c>
      <c r="C33">
        <v>7.6</v>
      </c>
      <c r="D33">
        <v>1</v>
      </c>
      <c r="E33">
        <v>3</v>
      </c>
      <c r="F33" t="s">
        <v>79</v>
      </c>
      <c r="G33" t="s">
        <v>13</v>
      </c>
      <c r="H33">
        <v>7.2</v>
      </c>
      <c r="I33" t="s">
        <v>19</v>
      </c>
      <c r="J33">
        <v>1</v>
      </c>
    </row>
    <row r="34" spans="1:10" x14ac:dyDescent="0.3">
      <c r="A34" t="s">
        <v>80</v>
      </c>
      <c r="B34" t="s">
        <v>76</v>
      </c>
      <c r="C34">
        <v>6.8</v>
      </c>
      <c r="D34">
        <v>0</v>
      </c>
      <c r="E34">
        <v>2</v>
      </c>
      <c r="F34" t="s">
        <v>81</v>
      </c>
      <c r="G34" t="s">
        <v>22</v>
      </c>
      <c r="H34">
        <v>0</v>
      </c>
      <c r="I34" t="s">
        <v>23</v>
      </c>
      <c r="J34">
        <v>0</v>
      </c>
    </row>
    <row r="35" spans="1:10" x14ac:dyDescent="0.3">
      <c r="A35" t="s">
        <v>82</v>
      </c>
      <c r="B35" t="s">
        <v>76</v>
      </c>
      <c r="C35">
        <v>8.9</v>
      </c>
      <c r="D35">
        <v>3</v>
      </c>
      <c r="E35">
        <v>5</v>
      </c>
      <c r="F35" t="s">
        <v>83</v>
      </c>
      <c r="G35" t="s">
        <v>13</v>
      </c>
      <c r="H35">
        <v>12</v>
      </c>
      <c r="I35" t="s">
        <v>14</v>
      </c>
      <c r="J35">
        <v>3</v>
      </c>
    </row>
    <row r="36" spans="1:10" x14ac:dyDescent="0.3">
      <c r="A36" t="s">
        <v>84</v>
      </c>
      <c r="B36" t="s">
        <v>76</v>
      </c>
      <c r="C36">
        <v>7.1</v>
      </c>
      <c r="D36">
        <v>1</v>
      </c>
      <c r="E36">
        <v>3</v>
      </c>
      <c r="F36" t="s">
        <v>85</v>
      </c>
      <c r="G36" t="s">
        <v>13</v>
      </c>
      <c r="H36">
        <v>6.5</v>
      </c>
      <c r="I36" t="s">
        <v>19</v>
      </c>
      <c r="J36">
        <v>1</v>
      </c>
    </row>
    <row r="37" spans="1:10" x14ac:dyDescent="0.3">
      <c r="A37" t="s">
        <v>86</v>
      </c>
      <c r="B37" t="s">
        <v>76</v>
      </c>
      <c r="C37">
        <v>9.1</v>
      </c>
      <c r="D37">
        <v>3</v>
      </c>
      <c r="E37">
        <v>6</v>
      </c>
      <c r="F37" t="s">
        <v>87</v>
      </c>
      <c r="G37" t="s">
        <v>13</v>
      </c>
      <c r="H37">
        <v>15</v>
      </c>
      <c r="I37" t="s">
        <v>14</v>
      </c>
      <c r="J37">
        <v>3</v>
      </c>
    </row>
    <row r="38" spans="1:10" x14ac:dyDescent="0.3">
      <c r="A38" t="s">
        <v>88</v>
      </c>
      <c r="B38" t="s">
        <v>76</v>
      </c>
      <c r="C38">
        <v>6.5</v>
      </c>
      <c r="D38">
        <v>0</v>
      </c>
      <c r="E38">
        <v>2</v>
      </c>
      <c r="F38" t="s">
        <v>81</v>
      </c>
      <c r="G38" t="s">
        <v>22</v>
      </c>
      <c r="H38">
        <v>0</v>
      </c>
      <c r="I38" t="s">
        <v>23</v>
      </c>
      <c r="J38">
        <v>0</v>
      </c>
    </row>
    <row r="39" spans="1:10" x14ac:dyDescent="0.3">
      <c r="A39" t="s">
        <v>89</v>
      </c>
      <c r="B39" t="s">
        <v>76</v>
      </c>
      <c r="C39">
        <v>7.8</v>
      </c>
      <c r="D39">
        <v>2</v>
      </c>
      <c r="E39">
        <v>4</v>
      </c>
      <c r="F39" t="s">
        <v>90</v>
      </c>
      <c r="G39" t="s">
        <v>13</v>
      </c>
      <c r="H39">
        <v>8.8000000000000007</v>
      </c>
      <c r="I39" t="s">
        <v>19</v>
      </c>
      <c r="J39">
        <v>2</v>
      </c>
    </row>
    <row r="40" spans="1:10" x14ac:dyDescent="0.3">
      <c r="A40" t="s">
        <v>91</v>
      </c>
      <c r="B40" t="s">
        <v>76</v>
      </c>
      <c r="C40">
        <v>5.9</v>
      </c>
      <c r="D40">
        <v>0</v>
      </c>
      <c r="E40">
        <v>1</v>
      </c>
      <c r="F40" t="s">
        <v>92</v>
      </c>
      <c r="G40" t="s">
        <v>22</v>
      </c>
      <c r="H40">
        <v>0</v>
      </c>
      <c r="I40" t="s">
        <v>23</v>
      </c>
      <c r="J40">
        <v>0</v>
      </c>
    </row>
    <row r="41" spans="1:10" x14ac:dyDescent="0.3">
      <c r="A41" t="s">
        <v>93</v>
      </c>
      <c r="B41" t="s">
        <v>76</v>
      </c>
      <c r="C41">
        <v>8.1999999999999993</v>
      </c>
      <c r="D41">
        <v>2</v>
      </c>
      <c r="E41">
        <v>4</v>
      </c>
      <c r="F41" t="s">
        <v>94</v>
      </c>
      <c r="G41" t="s">
        <v>13</v>
      </c>
      <c r="H41">
        <v>10.199999999999999</v>
      </c>
      <c r="I41" t="s">
        <v>14</v>
      </c>
      <c r="J41">
        <v>2</v>
      </c>
    </row>
    <row r="42" spans="1:10" x14ac:dyDescent="0.3">
      <c r="A42" t="s">
        <v>95</v>
      </c>
      <c r="B42" t="s">
        <v>96</v>
      </c>
      <c r="C42">
        <v>7.5</v>
      </c>
      <c r="D42">
        <v>1</v>
      </c>
      <c r="E42">
        <v>3</v>
      </c>
      <c r="F42" t="s">
        <v>97</v>
      </c>
      <c r="G42" t="s">
        <v>13</v>
      </c>
      <c r="H42">
        <v>4.5</v>
      </c>
      <c r="I42" t="s">
        <v>73</v>
      </c>
      <c r="J42">
        <v>1</v>
      </c>
    </row>
    <row r="43" spans="1:10" x14ac:dyDescent="0.3">
      <c r="A43" t="s">
        <v>98</v>
      </c>
      <c r="B43" t="s">
        <v>96</v>
      </c>
      <c r="C43">
        <v>6.3</v>
      </c>
      <c r="D43">
        <v>0</v>
      </c>
      <c r="E43">
        <v>2</v>
      </c>
      <c r="F43" t="s">
        <v>99</v>
      </c>
      <c r="G43" t="s">
        <v>22</v>
      </c>
      <c r="H43">
        <v>0</v>
      </c>
      <c r="I43" t="s">
        <v>23</v>
      </c>
      <c r="J43">
        <v>0</v>
      </c>
    </row>
    <row r="44" spans="1:10" x14ac:dyDescent="0.3">
      <c r="A44" t="s">
        <v>100</v>
      </c>
      <c r="B44" t="s">
        <v>96</v>
      </c>
      <c r="C44">
        <v>8</v>
      </c>
      <c r="D44">
        <v>2</v>
      </c>
      <c r="E44">
        <v>4</v>
      </c>
      <c r="F44" t="s">
        <v>101</v>
      </c>
      <c r="G44" t="s">
        <v>13</v>
      </c>
      <c r="H44">
        <v>6.2</v>
      </c>
      <c r="I44" t="s">
        <v>19</v>
      </c>
      <c r="J44">
        <v>2</v>
      </c>
    </row>
    <row r="45" spans="1:10" x14ac:dyDescent="0.3">
      <c r="A45" t="s">
        <v>102</v>
      </c>
      <c r="B45" t="s">
        <v>96</v>
      </c>
      <c r="C45">
        <v>5.8</v>
      </c>
      <c r="D45">
        <v>0</v>
      </c>
      <c r="E45">
        <v>1</v>
      </c>
      <c r="F45" t="s">
        <v>63</v>
      </c>
      <c r="G45" t="s">
        <v>22</v>
      </c>
      <c r="H45">
        <v>0</v>
      </c>
      <c r="I45" t="s">
        <v>23</v>
      </c>
      <c r="J45">
        <v>0</v>
      </c>
    </row>
    <row r="46" spans="1:10" x14ac:dyDescent="0.3">
      <c r="A46" t="s">
        <v>103</v>
      </c>
      <c r="B46" t="s">
        <v>96</v>
      </c>
      <c r="C46">
        <v>7.2</v>
      </c>
      <c r="D46">
        <v>1</v>
      </c>
      <c r="E46">
        <v>3</v>
      </c>
      <c r="F46" t="s">
        <v>104</v>
      </c>
      <c r="G46" t="s">
        <v>13</v>
      </c>
      <c r="H46">
        <v>4.8</v>
      </c>
      <c r="I46" t="s">
        <v>73</v>
      </c>
      <c r="J46">
        <v>1</v>
      </c>
    </row>
    <row r="47" spans="1:10" x14ac:dyDescent="0.3">
      <c r="A47" t="s">
        <v>105</v>
      </c>
      <c r="B47" t="s">
        <v>96</v>
      </c>
      <c r="C47">
        <v>8.5</v>
      </c>
      <c r="D47">
        <v>3</v>
      </c>
      <c r="E47">
        <v>4</v>
      </c>
      <c r="F47" t="s">
        <v>106</v>
      </c>
      <c r="G47" t="s">
        <v>13</v>
      </c>
      <c r="H47">
        <v>7.5</v>
      </c>
      <c r="I47" t="s">
        <v>19</v>
      </c>
      <c r="J47">
        <v>2</v>
      </c>
    </row>
    <row r="48" spans="1:10" x14ac:dyDescent="0.3">
      <c r="A48" t="s">
        <v>107</v>
      </c>
      <c r="B48" t="s">
        <v>96</v>
      </c>
      <c r="C48">
        <v>6.7</v>
      </c>
      <c r="D48">
        <v>0</v>
      </c>
      <c r="E48">
        <v>2</v>
      </c>
      <c r="F48" t="s">
        <v>99</v>
      </c>
      <c r="G48" t="s">
        <v>22</v>
      </c>
      <c r="H48">
        <v>0</v>
      </c>
      <c r="I48" t="s">
        <v>23</v>
      </c>
      <c r="J48">
        <v>0</v>
      </c>
    </row>
    <row r="49" spans="1:10" x14ac:dyDescent="0.3">
      <c r="A49" t="s">
        <v>108</v>
      </c>
      <c r="B49" t="s">
        <v>96</v>
      </c>
      <c r="C49">
        <v>9</v>
      </c>
      <c r="D49">
        <v>3</v>
      </c>
      <c r="E49">
        <v>5</v>
      </c>
      <c r="F49" t="s">
        <v>109</v>
      </c>
      <c r="G49" t="s">
        <v>13</v>
      </c>
      <c r="H49">
        <v>9</v>
      </c>
      <c r="I49" t="s">
        <v>14</v>
      </c>
      <c r="J49">
        <v>2</v>
      </c>
    </row>
    <row r="50" spans="1:10" x14ac:dyDescent="0.3">
      <c r="A50" t="s">
        <v>110</v>
      </c>
      <c r="B50" t="s">
        <v>96</v>
      </c>
      <c r="C50">
        <v>7</v>
      </c>
      <c r="D50">
        <v>1</v>
      </c>
      <c r="E50">
        <v>2</v>
      </c>
      <c r="F50" t="s">
        <v>111</v>
      </c>
      <c r="G50" t="s">
        <v>13</v>
      </c>
      <c r="H50">
        <v>4.2</v>
      </c>
      <c r="I50" t="s">
        <v>73</v>
      </c>
      <c r="J50">
        <v>1</v>
      </c>
    </row>
    <row r="51" spans="1:10" x14ac:dyDescent="0.3">
      <c r="A51" t="s">
        <v>112</v>
      </c>
      <c r="B51" t="s">
        <v>96</v>
      </c>
      <c r="C51">
        <v>6.1</v>
      </c>
      <c r="D51">
        <v>0</v>
      </c>
      <c r="E51">
        <v>1</v>
      </c>
      <c r="F51" t="s">
        <v>63</v>
      </c>
      <c r="G51" t="s">
        <v>22</v>
      </c>
      <c r="H51">
        <v>0</v>
      </c>
      <c r="I51" t="s">
        <v>23</v>
      </c>
      <c r="J5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16F9-E02B-4DEB-BBDC-C64ABBC13942}">
  <dimension ref="A3:D10"/>
  <sheetViews>
    <sheetView topLeftCell="A3" zoomScale="108" workbookViewId="0">
      <selection activeCell="A6" sqref="A6"/>
    </sheetView>
  </sheetViews>
  <sheetFormatPr defaultRowHeight="14.4" x14ac:dyDescent="0.3"/>
  <cols>
    <col min="1" max="1" width="18.88671875" bestFit="1" customWidth="1"/>
    <col min="2" max="2" width="15.6640625" bestFit="1" customWidth="1"/>
    <col min="3" max="3" width="8.109375" bestFit="1" customWidth="1"/>
    <col min="4" max="4" width="11.21875" bestFit="1" customWidth="1"/>
  </cols>
  <sheetData>
    <row r="3" spans="1:4" x14ac:dyDescent="0.3">
      <c r="A3" s="4" t="s">
        <v>123</v>
      </c>
      <c r="B3" s="4" t="s">
        <v>122</v>
      </c>
    </row>
    <row r="4" spans="1:4" x14ac:dyDescent="0.3">
      <c r="A4" s="4" t="s">
        <v>115</v>
      </c>
      <c r="B4" t="s">
        <v>22</v>
      </c>
      <c r="C4" t="s">
        <v>13</v>
      </c>
      <c r="D4" t="s">
        <v>121</v>
      </c>
    </row>
    <row r="5" spans="1:4" x14ac:dyDescent="0.3">
      <c r="A5" s="5" t="s">
        <v>116</v>
      </c>
      <c r="B5" s="6">
        <v>0.66666666666666663</v>
      </c>
      <c r="C5" s="6">
        <v>0</v>
      </c>
      <c r="D5" s="6">
        <v>0.2</v>
      </c>
    </row>
    <row r="6" spans="1:4" x14ac:dyDescent="0.3">
      <c r="A6" s="5" t="s">
        <v>117</v>
      </c>
      <c r="B6" s="6">
        <v>0.33333333333333331</v>
      </c>
      <c r="C6" s="6">
        <v>0</v>
      </c>
      <c r="D6" s="6">
        <v>0.1</v>
      </c>
    </row>
    <row r="7" spans="1:4" x14ac:dyDescent="0.3">
      <c r="A7" s="5" t="s">
        <v>118</v>
      </c>
      <c r="B7" s="6">
        <v>0</v>
      </c>
      <c r="C7" s="6">
        <v>0.2857142857142857</v>
      </c>
      <c r="D7" s="6">
        <v>0.2</v>
      </c>
    </row>
    <row r="8" spans="1:4" x14ac:dyDescent="0.3">
      <c r="A8" s="5" t="s">
        <v>119</v>
      </c>
      <c r="B8" s="6">
        <v>0</v>
      </c>
      <c r="C8" s="6">
        <v>0.42857142857142855</v>
      </c>
      <c r="D8" s="6">
        <v>0.3</v>
      </c>
    </row>
    <row r="9" spans="1:4" x14ac:dyDescent="0.3">
      <c r="A9" s="5" t="s">
        <v>120</v>
      </c>
      <c r="B9" s="6">
        <v>0</v>
      </c>
      <c r="C9" s="6">
        <v>0.2857142857142857</v>
      </c>
      <c r="D9" s="6">
        <v>0.2</v>
      </c>
    </row>
    <row r="10" spans="1:4" x14ac:dyDescent="0.3">
      <c r="A10" s="5" t="s">
        <v>121</v>
      </c>
      <c r="B10" s="6">
        <v>1</v>
      </c>
      <c r="C10" s="6">
        <v>1</v>
      </c>
      <c r="D10"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DE58-9FC9-4F02-9F8D-6854D774FD58}">
  <dimension ref="A2:E16"/>
  <sheetViews>
    <sheetView zoomScale="52" zoomScaleNormal="160" workbookViewId="0">
      <selection activeCell="G14" sqref="G14"/>
    </sheetView>
  </sheetViews>
  <sheetFormatPr defaultRowHeight="14.4" x14ac:dyDescent="0.3"/>
  <cols>
    <col min="1" max="1" width="8.5546875" bestFit="1" customWidth="1"/>
    <col min="2" max="2" width="17" bestFit="1" customWidth="1"/>
    <col min="3" max="3" width="13.44140625" bestFit="1" customWidth="1"/>
    <col min="4" max="4" width="13.77734375" bestFit="1" customWidth="1"/>
    <col min="5" max="5" width="12.109375" bestFit="1" customWidth="1"/>
  </cols>
  <sheetData>
    <row r="2" spans="1:5" ht="43.2" x14ac:dyDescent="0.3">
      <c r="A2" s="7" t="s">
        <v>124</v>
      </c>
      <c r="B2" s="7" t="s">
        <v>125</v>
      </c>
      <c r="C2" s="7" t="s">
        <v>126</v>
      </c>
      <c r="D2" s="7" t="s">
        <v>127</v>
      </c>
      <c r="E2" s="7" t="s">
        <v>140</v>
      </c>
    </row>
    <row r="3" spans="1:5" x14ac:dyDescent="0.3">
      <c r="A3" s="8" t="s">
        <v>139</v>
      </c>
      <c r="B3" s="8">
        <v>5</v>
      </c>
      <c r="C3" s="8">
        <v>5.5</v>
      </c>
      <c r="D3" s="9">
        <v>0.6</v>
      </c>
      <c r="E3">
        <f ca="1">AVERAGEIF(Cleaned_Data!G14:L64,"Yes",Cleaned_Data!H14:L64)</f>
        <v>7.8208333333333329</v>
      </c>
    </row>
    <row r="4" spans="1:5" x14ac:dyDescent="0.3">
      <c r="A4" s="8" t="s">
        <v>63</v>
      </c>
      <c r="B4" s="8">
        <v>10</v>
      </c>
      <c r="C4" s="8">
        <v>5.8</v>
      </c>
      <c r="D4" s="9">
        <v>0.65</v>
      </c>
      <c r="E4">
        <f ca="1">AVERAGEIF(Cleaned_Data!G10:L60,"Yes",Cleaned_Data!H10:L60)</f>
        <v>7.674074074074074</v>
      </c>
    </row>
    <row r="5" spans="1:5" x14ac:dyDescent="0.3">
      <c r="A5" s="8" t="s">
        <v>137</v>
      </c>
      <c r="B5" s="8">
        <v>6</v>
      </c>
      <c r="C5" s="8">
        <v>6.2</v>
      </c>
      <c r="D5" s="9">
        <v>0.7</v>
      </c>
      <c r="E5">
        <f ca="1">AVERAGEIF(Cleaned_Data!G11:L61,"Yes",Cleaned_Data!H11:L61)</f>
        <v>7.674074074074074</v>
      </c>
    </row>
    <row r="6" spans="1:5" x14ac:dyDescent="0.3">
      <c r="A6" s="8" t="s">
        <v>134</v>
      </c>
      <c r="B6" s="8">
        <v>8</v>
      </c>
      <c r="C6" s="8">
        <v>7.2</v>
      </c>
      <c r="D6" s="9">
        <v>0.88</v>
      </c>
      <c r="E6">
        <f ca="1">AVERAGEIF(Cleaned_Data!G7:L57,"Yes",Cleaned_Data!H7:L57)</f>
        <v>8.0310344827586206</v>
      </c>
    </row>
    <row r="7" spans="1:5" x14ac:dyDescent="0.3">
      <c r="A7" s="8" t="s">
        <v>135</v>
      </c>
      <c r="B7" s="8">
        <v>6</v>
      </c>
      <c r="C7" s="8">
        <v>7.8</v>
      </c>
      <c r="D7" s="9">
        <v>0.9</v>
      </c>
      <c r="E7">
        <f ca="1">AVERAGEIF(Cleaned_Data!G8:L58,"Yes",Cleaned_Data!H8:L58)</f>
        <v>8.0310344827586206</v>
      </c>
    </row>
    <row r="8" spans="1:5" x14ac:dyDescent="0.3">
      <c r="A8" s="8" t="s">
        <v>131</v>
      </c>
      <c r="B8" s="8">
        <v>10</v>
      </c>
      <c r="C8" s="8">
        <v>8.5</v>
      </c>
      <c r="D8" s="9">
        <v>0.92</v>
      </c>
      <c r="E8">
        <f ca="1">AVERAGEIF(Cleaned_Data!G4:L54,"Yes",Cleaned_Data!H4:L54)</f>
        <v>8.1483870967741918</v>
      </c>
    </row>
    <row r="9" spans="1:5" x14ac:dyDescent="0.3">
      <c r="A9" s="8" t="s">
        <v>136</v>
      </c>
      <c r="B9" s="8">
        <v>5</v>
      </c>
      <c r="C9" s="8">
        <v>8.5</v>
      </c>
      <c r="D9" s="9">
        <v>0.92</v>
      </c>
      <c r="E9">
        <f ca="1">AVERAGEIF(Cleaned_Data!G9:L59,"Yes",Cleaned_Data!H9:L59)</f>
        <v>8.0607142857142851</v>
      </c>
    </row>
    <row r="10" spans="1:5" ht="28.8" x14ac:dyDescent="0.3">
      <c r="A10" s="8" t="s">
        <v>92</v>
      </c>
      <c r="B10" s="8">
        <v>6</v>
      </c>
      <c r="C10" s="8">
        <v>8.5</v>
      </c>
      <c r="D10" s="9">
        <v>0.85</v>
      </c>
      <c r="E10">
        <f ca="1">AVERAGEIF(Cleaned_Data!G12:L62,"Yes",Cleaned_Data!H12:L62)</f>
        <v>7.707692307692307</v>
      </c>
    </row>
    <row r="11" spans="1:5" x14ac:dyDescent="0.3">
      <c r="A11" s="8" t="s">
        <v>129</v>
      </c>
      <c r="B11" s="8">
        <v>12</v>
      </c>
      <c r="C11" s="8">
        <v>9.8000000000000007</v>
      </c>
      <c r="D11" s="9">
        <v>0.94</v>
      </c>
      <c r="E11">
        <f ca="1">AVERAGEIF(Cleaned_Data!G2:L52,"Yes",Cleaned_Data!H2:L52)</f>
        <v>8.3303030303030301</v>
      </c>
    </row>
    <row r="12" spans="1:5" x14ac:dyDescent="0.3">
      <c r="A12" s="8" t="s">
        <v>128</v>
      </c>
      <c r="B12" s="8">
        <v>18</v>
      </c>
      <c r="C12" s="8">
        <v>10.199999999999999</v>
      </c>
      <c r="D12" s="9">
        <v>0.95</v>
      </c>
      <c r="E12">
        <f ca="1">AVERAGEIF(Cleaned_Data!G1:L51,"Yes",Cleaned_Data!H1:L51)</f>
        <v>8.3303030303030301</v>
      </c>
    </row>
    <row r="13" spans="1:5" ht="28.8" x14ac:dyDescent="0.3">
      <c r="A13" s="8" t="s">
        <v>138</v>
      </c>
      <c r="B13" s="8">
        <v>5</v>
      </c>
      <c r="C13" s="8">
        <v>10.5</v>
      </c>
      <c r="D13" s="9">
        <v>0.95</v>
      </c>
      <c r="E13">
        <f ca="1">AVERAGEIF(Cleaned_Data!G13:L63,"Yes",Cleaned_Data!H13:L63)</f>
        <v>7.7159999999999993</v>
      </c>
    </row>
    <row r="14" spans="1:5" x14ac:dyDescent="0.3">
      <c r="A14" s="8" t="s">
        <v>133</v>
      </c>
      <c r="B14" s="8">
        <v>5</v>
      </c>
      <c r="C14" s="8">
        <v>10.8</v>
      </c>
      <c r="D14" s="9">
        <v>1</v>
      </c>
      <c r="E14">
        <f ca="1">AVERAGEIF(Cleaned_Data!G6:L56,"Yes",Cleaned_Data!H6:L56)</f>
        <v>8.2366666666666664</v>
      </c>
    </row>
    <row r="15" spans="1:5" x14ac:dyDescent="0.3">
      <c r="A15" s="8" t="s">
        <v>132</v>
      </c>
      <c r="B15" s="8">
        <v>5</v>
      </c>
      <c r="C15" s="8">
        <v>11.2</v>
      </c>
      <c r="D15" s="9">
        <v>1</v>
      </c>
      <c r="E15">
        <f ca="1">AVERAGEIF(Cleaned_Data!G5:L55,"Yes",Cleaned_Data!H5:L55)</f>
        <v>8.2366666666666664</v>
      </c>
    </row>
    <row r="16" spans="1:5" x14ac:dyDescent="0.3">
      <c r="A16" s="8" t="s">
        <v>130</v>
      </c>
      <c r="B16" s="8">
        <v>6</v>
      </c>
      <c r="C16" s="8">
        <v>14.5</v>
      </c>
      <c r="D16" s="9">
        <v>1</v>
      </c>
      <c r="E16">
        <f ca="1">AVERAGEIF(Cleaned_Data!G3:L53,"Yes",Cleaned_Data!H3:L53)</f>
        <v>8.1999999999999993</v>
      </c>
    </row>
  </sheetData>
  <sortState xmlns:xlrd2="http://schemas.microsoft.com/office/spreadsheetml/2017/richdata2" ref="A3:E16">
    <sortCondition ref="C3:C16"/>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10D4-C295-41DD-A67B-1EA5BB3D146F}">
  <dimension ref="A3:D15"/>
  <sheetViews>
    <sheetView zoomScale="63" zoomScaleNormal="100" workbookViewId="0">
      <selection activeCell="B6" sqref="B6"/>
    </sheetView>
  </sheetViews>
  <sheetFormatPr defaultRowHeight="14.4" x14ac:dyDescent="0.3"/>
  <cols>
    <col min="1" max="1" width="19" bestFit="1" customWidth="1"/>
    <col min="2" max="2" width="17.21875" bestFit="1" customWidth="1"/>
    <col min="3" max="3" width="8.5546875" bestFit="1" customWidth="1"/>
    <col min="4" max="4" width="11.44140625" bestFit="1" customWidth="1"/>
  </cols>
  <sheetData>
    <row r="3" spans="1:4" x14ac:dyDescent="0.3">
      <c r="A3" s="4" t="s">
        <v>123</v>
      </c>
      <c r="B3" s="4" t="s">
        <v>122</v>
      </c>
    </row>
    <row r="4" spans="1:4" x14ac:dyDescent="0.3">
      <c r="A4" s="4" t="s">
        <v>115</v>
      </c>
      <c r="B4" t="s">
        <v>22</v>
      </c>
      <c r="C4" t="s">
        <v>13</v>
      </c>
      <c r="D4" t="s">
        <v>121</v>
      </c>
    </row>
    <row r="5" spans="1:4" x14ac:dyDescent="0.3">
      <c r="A5" s="5" t="s">
        <v>141</v>
      </c>
      <c r="B5" s="6">
        <v>1</v>
      </c>
      <c r="C5" s="6">
        <v>0</v>
      </c>
      <c r="D5" s="6">
        <v>1</v>
      </c>
    </row>
    <row r="6" spans="1:4" x14ac:dyDescent="0.3">
      <c r="A6" s="5" t="s">
        <v>142</v>
      </c>
      <c r="B6" s="6">
        <v>0.33333333333333331</v>
      </c>
      <c r="C6" s="6">
        <v>0.66666666666666663</v>
      </c>
      <c r="D6" s="6">
        <v>1</v>
      </c>
    </row>
    <row r="7" spans="1:4" x14ac:dyDescent="0.3">
      <c r="A7" s="5" t="s">
        <v>143</v>
      </c>
      <c r="B7" s="6">
        <v>0</v>
      </c>
      <c r="C7" s="6">
        <v>1</v>
      </c>
      <c r="D7" s="6">
        <v>1</v>
      </c>
    </row>
    <row r="8" spans="1:4" x14ac:dyDescent="0.3">
      <c r="A8" s="5" t="s">
        <v>144</v>
      </c>
      <c r="B8" s="6">
        <v>0</v>
      </c>
      <c r="C8" s="6">
        <v>1</v>
      </c>
      <c r="D8" s="6">
        <v>1</v>
      </c>
    </row>
    <row r="9" spans="1:4" x14ac:dyDescent="0.3">
      <c r="A9" s="5" t="s">
        <v>121</v>
      </c>
      <c r="B9" s="6">
        <v>0.3</v>
      </c>
      <c r="C9" s="6">
        <v>0.7</v>
      </c>
      <c r="D9" s="6">
        <v>1</v>
      </c>
    </row>
    <row r="11" spans="1:4" x14ac:dyDescent="0.3">
      <c r="A11" s="5" t="s">
        <v>3</v>
      </c>
      <c r="B11" s="10" t="s">
        <v>145</v>
      </c>
      <c r="C11" s="11" t="s">
        <v>146</v>
      </c>
      <c r="D11" t="s">
        <v>147</v>
      </c>
    </row>
    <row r="12" spans="1:4" x14ac:dyDescent="0.3">
      <c r="A12">
        <v>0</v>
      </c>
      <c r="B12" s="10">
        <v>0.06</v>
      </c>
      <c r="C12" s="11">
        <v>0.1</v>
      </c>
      <c r="D12" s="6">
        <v>0</v>
      </c>
    </row>
    <row r="13" spans="1:4" x14ac:dyDescent="0.3">
      <c r="A13">
        <v>1</v>
      </c>
      <c r="B13" s="10">
        <v>0.92</v>
      </c>
      <c r="C13" s="11">
        <v>1</v>
      </c>
      <c r="D13" s="6">
        <v>5.7999999999999996E-2</v>
      </c>
    </row>
    <row r="14" spans="1:4" x14ac:dyDescent="0.3">
      <c r="A14">
        <v>2</v>
      </c>
      <c r="B14" s="10">
        <v>1</v>
      </c>
      <c r="C14" s="11">
        <v>1.5</v>
      </c>
      <c r="D14" s="6">
        <v>7.4999999999999997E-2</v>
      </c>
    </row>
    <row r="15" spans="1:4" x14ac:dyDescent="0.3">
      <c r="A15">
        <v>3</v>
      </c>
      <c r="B15" s="10">
        <v>1</v>
      </c>
      <c r="C15" s="11">
        <v>2.8</v>
      </c>
      <c r="D15" s="6">
        <v>0.11199999999999999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0FEA-A680-4ED9-904F-DA69562D3149}">
  <dimension ref="A3:F25"/>
  <sheetViews>
    <sheetView topLeftCell="A3" zoomScale="48" workbookViewId="0">
      <selection activeCell="I43" sqref="I43"/>
    </sheetView>
  </sheetViews>
  <sheetFormatPr defaultRowHeight="14.4" x14ac:dyDescent="0.3"/>
  <cols>
    <col min="1" max="1" width="20" bestFit="1" customWidth="1"/>
    <col min="2" max="2" width="23.21875" bestFit="1" customWidth="1"/>
    <col min="3" max="3" width="10.109375" bestFit="1" customWidth="1"/>
    <col min="4" max="4" width="16.109375" bestFit="1" customWidth="1"/>
    <col min="5" max="5" width="11.77734375" bestFit="1" customWidth="1"/>
    <col min="6" max="6" width="9.77734375" bestFit="1" customWidth="1"/>
  </cols>
  <sheetData>
    <row r="3" spans="1:4" x14ac:dyDescent="0.3">
      <c r="A3" s="4" t="s">
        <v>123</v>
      </c>
      <c r="B3" s="4" t="s">
        <v>122</v>
      </c>
    </row>
    <row r="4" spans="1:4" x14ac:dyDescent="0.3">
      <c r="A4" s="4" t="s">
        <v>115</v>
      </c>
      <c r="B4" t="s">
        <v>22</v>
      </c>
      <c r="C4" t="s">
        <v>13</v>
      </c>
      <c r="D4" t="s">
        <v>121</v>
      </c>
    </row>
    <row r="5" spans="1:4" x14ac:dyDescent="0.3">
      <c r="A5" s="5" t="s">
        <v>11</v>
      </c>
      <c r="B5" s="6">
        <v>0.3</v>
      </c>
      <c r="C5" s="6">
        <v>0.7</v>
      </c>
      <c r="D5" s="6">
        <v>1</v>
      </c>
    </row>
    <row r="6" spans="1:4" x14ac:dyDescent="0.3">
      <c r="A6" s="5" t="s">
        <v>121</v>
      </c>
      <c r="B6" s="6">
        <v>0.3</v>
      </c>
      <c r="C6" s="6">
        <v>0.7</v>
      </c>
      <c r="D6" s="6">
        <v>1</v>
      </c>
    </row>
    <row r="12" spans="1:4" x14ac:dyDescent="0.3">
      <c r="A12" s="4" t="s">
        <v>115</v>
      </c>
      <c r="B12" t="s">
        <v>148</v>
      </c>
    </row>
    <row r="13" spans="1:4" x14ac:dyDescent="0.3">
      <c r="A13" s="5" t="s">
        <v>11</v>
      </c>
      <c r="B13" s="3">
        <v>7.45</v>
      </c>
    </row>
    <row r="14" spans="1:4" x14ac:dyDescent="0.3">
      <c r="A14" s="5" t="s">
        <v>121</v>
      </c>
      <c r="B14" s="3">
        <v>7.45</v>
      </c>
    </row>
    <row r="20" spans="1:6" x14ac:dyDescent="0.3">
      <c r="A20" s="5" t="s">
        <v>1</v>
      </c>
      <c r="B20" t="s">
        <v>149</v>
      </c>
      <c r="C20" t="s">
        <v>6</v>
      </c>
      <c r="D20" t="s">
        <v>150</v>
      </c>
      <c r="E20" t="s">
        <v>151</v>
      </c>
      <c r="F20" t="s">
        <v>147</v>
      </c>
    </row>
    <row r="21" spans="1:6" x14ac:dyDescent="0.3">
      <c r="A21" s="5" t="s">
        <v>11</v>
      </c>
      <c r="B21">
        <v>10</v>
      </c>
      <c r="C21">
        <v>8</v>
      </c>
      <c r="D21">
        <v>2</v>
      </c>
      <c r="E21" s="12">
        <v>0.8</v>
      </c>
      <c r="F21">
        <v>9.1999999999999993</v>
      </c>
    </row>
    <row r="22" spans="1:6" x14ac:dyDescent="0.3">
      <c r="A22" s="5" t="s">
        <v>36</v>
      </c>
      <c r="B22">
        <v>10</v>
      </c>
      <c r="C22">
        <v>7</v>
      </c>
      <c r="D22">
        <v>3</v>
      </c>
      <c r="E22" s="12">
        <v>0.7</v>
      </c>
      <c r="F22">
        <v>7.6</v>
      </c>
    </row>
    <row r="23" spans="1:6" x14ac:dyDescent="0.3">
      <c r="A23" s="5" t="s">
        <v>56</v>
      </c>
      <c r="B23">
        <v>10</v>
      </c>
      <c r="C23">
        <v>6</v>
      </c>
      <c r="D23">
        <v>4</v>
      </c>
      <c r="E23" s="12">
        <v>0.6</v>
      </c>
      <c r="F23">
        <v>6.8</v>
      </c>
    </row>
    <row r="24" spans="1:6" x14ac:dyDescent="0.3">
      <c r="A24" s="5" t="s">
        <v>76</v>
      </c>
      <c r="B24">
        <v>10</v>
      </c>
      <c r="C24">
        <v>8</v>
      </c>
      <c r="D24">
        <v>2</v>
      </c>
      <c r="E24" s="12">
        <v>0.75</v>
      </c>
      <c r="F24">
        <v>8.5</v>
      </c>
    </row>
    <row r="25" spans="1:6" x14ac:dyDescent="0.3">
      <c r="A25" s="5" t="s">
        <v>96</v>
      </c>
      <c r="B25">
        <v>10</v>
      </c>
      <c r="C25">
        <v>6</v>
      </c>
      <c r="D25">
        <v>4</v>
      </c>
      <c r="E25" s="12">
        <v>0.6</v>
      </c>
      <c r="F25">
        <v>5.8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3891-0E70-4253-937D-4AE64999C664}">
  <sheetPr>
    <tabColor theme="4" tint="-0.499984740745262"/>
  </sheetPr>
  <dimension ref="A2:R10"/>
  <sheetViews>
    <sheetView showGridLines="0" zoomScale="52" zoomScaleNormal="100" workbookViewId="0">
      <selection activeCell="V22" sqref="V22"/>
    </sheetView>
  </sheetViews>
  <sheetFormatPr defaultRowHeight="14.4" x14ac:dyDescent="0.3"/>
  <cols>
    <col min="1" max="16384" width="8.88671875" style="13"/>
  </cols>
  <sheetData>
    <row r="2" spans="1:18" ht="43.8" x14ac:dyDescent="1.05">
      <c r="A2" s="20" t="s">
        <v>152</v>
      </c>
      <c r="B2" s="21"/>
      <c r="C2" s="21"/>
      <c r="D2" s="21"/>
      <c r="E2" s="21"/>
      <c r="F2" s="21"/>
      <c r="G2" s="21"/>
      <c r="H2" s="21"/>
      <c r="I2" s="21"/>
      <c r="J2" s="21"/>
      <c r="K2" s="21"/>
      <c r="L2" s="21"/>
      <c r="M2" s="21"/>
      <c r="N2" s="21"/>
      <c r="O2" s="21"/>
      <c r="P2" s="21"/>
      <c r="Q2" s="21"/>
      <c r="R2" s="21"/>
    </row>
    <row r="4" spans="1:18" ht="14.4" customHeight="1" x14ac:dyDescent="0.3">
      <c r="A4" s="22">
        <f>COUNTA(Cleaned_Data!A2:A51)</f>
        <v>50</v>
      </c>
      <c r="B4" s="22"/>
      <c r="C4" s="22"/>
      <c r="D4" s="22"/>
      <c r="F4" s="27" t="str">
        <f>COUNTIF(Cleaned_Data!G2:G51,"Yes")/COUNTA(Cleaned_Data!G2:G51)*100&amp;"%"</f>
        <v>66%</v>
      </c>
      <c r="G4" s="27"/>
      <c r="H4" s="27"/>
      <c r="I4" s="14">
        <f>AVERAGEIF(Cleaned_Data!G2:G51,"Yes",Cleaned_Data!H2:H51)</f>
        <v>8.3303030303030301</v>
      </c>
      <c r="J4" s="14"/>
      <c r="K4" s="14"/>
      <c r="L4" s="14"/>
      <c r="N4" s="17" t="s">
        <v>11</v>
      </c>
      <c r="O4" s="17"/>
      <c r="P4" s="17"/>
      <c r="Q4" s="17"/>
    </row>
    <row r="5" spans="1:18" ht="14.4" customHeight="1" x14ac:dyDescent="0.3">
      <c r="A5" s="22"/>
      <c r="B5" s="22"/>
      <c r="C5" s="22"/>
      <c r="D5" s="22"/>
      <c r="F5" s="27"/>
      <c r="G5" s="27"/>
      <c r="H5" s="27"/>
      <c r="I5" s="14"/>
      <c r="J5" s="14"/>
      <c r="K5" s="14"/>
      <c r="L5" s="14"/>
      <c r="N5" s="17"/>
      <c r="O5" s="17"/>
      <c r="P5" s="17"/>
      <c r="Q5" s="17"/>
    </row>
    <row r="6" spans="1:18" ht="14.4" customHeight="1" x14ac:dyDescent="0.3">
      <c r="A6" s="22"/>
      <c r="B6" s="22"/>
      <c r="C6" s="22"/>
      <c r="D6" s="22"/>
      <c r="F6" s="27"/>
      <c r="G6" s="27"/>
      <c r="H6" s="27"/>
      <c r="I6" s="14"/>
      <c r="J6" s="14"/>
      <c r="K6" s="14"/>
      <c r="L6" s="14"/>
      <c r="N6" s="17"/>
      <c r="O6" s="17"/>
      <c r="P6" s="17"/>
      <c r="Q6" s="17"/>
    </row>
    <row r="7" spans="1:18" ht="14.4" customHeight="1" x14ac:dyDescent="0.3">
      <c r="A7" s="22"/>
      <c r="B7" s="22"/>
      <c r="C7" s="22"/>
      <c r="D7" s="22"/>
      <c r="F7" s="27"/>
      <c r="G7" s="27"/>
      <c r="H7" s="27"/>
      <c r="I7" s="14"/>
      <c r="J7" s="14"/>
      <c r="K7" s="14"/>
      <c r="L7" s="14"/>
      <c r="N7" s="17"/>
      <c r="O7" s="17"/>
      <c r="P7" s="17"/>
      <c r="Q7" s="17"/>
    </row>
    <row r="8" spans="1:18" ht="14.4" customHeight="1" x14ac:dyDescent="0.3">
      <c r="A8" s="22"/>
      <c r="B8" s="22"/>
      <c r="C8" s="22"/>
      <c r="D8" s="22"/>
      <c r="F8" s="27"/>
      <c r="G8" s="27"/>
      <c r="H8" s="27"/>
      <c r="I8" s="14"/>
      <c r="J8" s="14"/>
      <c r="K8" s="14"/>
      <c r="L8" s="14"/>
      <c r="N8" s="17"/>
      <c r="O8" s="17"/>
      <c r="P8" s="17"/>
      <c r="Q8" s="17"/>
    </row>
    <row r="9" spans="1:18" ht="25.8" x14ac:dyDescent="0.5">
      <c r="A9" s="23" t="s">
        <v>153</v>
      </c>
      <c r="B9" s="24"/>
      <c r="C9" s="24"/>
      <c r="D9" s="24"/>
      <c r="E9" s="25" t="s">
        <v>154</v>
      </c>
      <c r="F9" s="26"/>
      <c r="G9" s="26"/>
      <c r="H9" s="26"/>
      <c r="J9" s="15" t="s">
        <v>155</v>
      </c>
      <c r="K9" s="16"/>
      <c r="L9" s="16"/>
      <c r="N9" s="18" t="s">
        <v>156</v>
      </c>
      <c r="O9" s="19"/>
      <c r="P9" s="19"/>
      <c r="Q9" s="19"/>
      <c r="R9" s="19"/>
    </row>
    <row r="10" spans="1:18" x14ac:dyDescent="0.3">
      <c r="N10" s="19"/>
      <c r="O10" s="19"/>
      <c r="P10" s="19"/>
      <c r="Q10" s="19"/>
      <c r="R10" s="19"/>
    </row>
  </sheetData>
  <mergeCells count="9">
    <mergeCell ref="I4:L8"/>
    <mergeCell ref="J9:L9"/>
    <mergeCell ref="N4:Q8"/>
    <mergeCell ref="N9:R10"/>
    <mergeCell ref="A2:R2"/>
    <mergeCell ref="A4:D8"/>
    <mergeCell ref="A9:D9"/>
    <mergeCell ref="E9:H9"/>
    <mergeCell ref="F4:H8"/>
  </mergeCells>
  <phoneticPr fontId="7"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85D5-813B-471C-A023-D387C7832631}">
  <dimension ref="A1:L51"/>
  <sheetViews>
    <sheetView workbookViewId="0">
      <pane ySplit="1" topLeftCell="A2" activePane="bottomLeft" state="frozen"/>
      <selection pane="bottomLeft" activeCell="E8" sqref="E8"/>
    </sheetView>
  </sheetViews>
  <sheetFormatPr defaultRowHeight="14.4" x14ac:dyDescent="0.3"/>
  <cols>
    <col min="1" max="1" width="12.33203125" customWidth="1"/>
    <col min="4" max="4" width="12.21875" customWidth="1"/>
    <col min="5" max="5" width="12.33203125" customWidth="1"/>
    <col min="6" max="6" width="39.77734375" bestFit="1" customWidth="1"/>
    <col min="8" max="8" width="8.88671875" style="3"/>
    <col min="9" max="9" width="15.109375" customWidth="1"/>
    <col min="10" max="10" width="13.33203125" customWidth="1"/>
    <col min="11" max="11" width="16.109375" customWidth="1"/>
    <col min="12" max="12" width="16.33203125" customWidth="1"/>
  </cols>
  <sheetData>
    <row r="1" spans="1:12" x14ac:dyDescent="0.3">
      <c r="A1" s="1" t="s">
        <v>0</v>
      </c>
      <c r="B1" s="1" t="s">
        <v>1</v>
      </c>
      <c r="C1" s="1" t="s">
        <v>2</v>
      </c>
      <c r="D1" s="1" t="s">
        <v>3</v>
      </c>
      <c r="E1" s="1" t="s">
        <v>4</v>
      </c>
      <c r="F1" s="1" t="s">
        <v>5</v>
      </c>
      <c r="G1" s="1" t="s">
        <v>6</v>
      </c>
      <c r="H1" s="2" t="s">
        <v>7</v>
      </c>
      <c r="I1" s="1" t="s">
        <v>8</v>
      </c>
      <c r="J1" s="1" t="s">
        <v>9</v>
      </c>
      <c r="K1" s="1" t="s">
        <v>113</v>
      </c>
      <c r="L1" s="1" t="s">
        <v>114</v>
      </c>
    </row>
    <row r="2" spans="1:12" x14ac:dyDescent="0.3">
      <c r="A2" t="s">
        <v>10</v>
      </c>
      <c r="B2" t="s">
        <v>11</v>
      </c>
      <c r="C2">
        <v>9.1</v>
      </c>
      <c r="D2">
        <v>3</v>
      </c>
      <c r="E2">
        <v>6</v>
      </c>
      <c r="F2" t="s">
        <v>12</v>
      </c>
      <c r="G2" t="s">
        <v>13</v>
      </c>
      <c r="H2" s="3">
        <v>12.5</v>
      </c>
      <c r="I2" t="s">
        <v>14</v>
      </c>
      <c r="J2">
        <v>3</v>
      </c>
      <c r="K2" t="str">
        <f>IF(C2&gt;=9,"Outstanding",IF(C2&gt;=8,"Excellent",IF(C2&gt;=7,"Good",IF(C2&gt;=6,"Average","Below Average"))))</f>
        <v>Outstanding</v>
      </c>
      <c r="L2" t="str">
        <f>IF(D2=0,"No Internship",IF(D2=1,"One Internship",IF(D2=2,"Two Internships","Three or More")))</f>
        <v>Three or More</v>
      </c>
    </row>
    <row r="3" spans="1:12" x14ac:dyDescent="0.3">
      <c r="A3" t="s">
        <v>15</v>
      </c>
      <c r="B3" t="s">
        <v>11</v>
      </c>
      <c r="C3">
        <v>8.6999999999999993</v>
      </c>
      <c r="D3">
        <v>2</v>
      </c>
      <c r="E3">
        <v>5</v>
      </c>
      <c r="F3" t="s">
        <v>16</v>
      </c>
      <c r="G3" t="s">
        <v>13</v>
      </c>
      <c r="H3" s="3">
        <v>9.8000000000000007</v>
      </c>
      <c r="I3" t="s">
        <v>14</v>
      </c>
      <c r="J3">
        <v>2</v>
      </c>
      <c r="K3" t="str">
        <f t="shared" ref="K3:K51" si="0">IF(C3&gt;=9,"Outstanding",IF(C3&gt;=8,"Excellent",IF(C3&gt;=7,"Good",IF(C3&gt;=6,"Average","Below Average"))))</f>
        <v>Excellent</v>
      </c>
      <c r="L3" t="str">
        <f t="shared" ref="L3:L51" si="1">IF(D3=0,"No Internship",IF(D3=1,"One Internship",IF(D3=2,"Two Internships","Three or More")))</f>
        <v>Two Internships</v>
      </c>
    </row>
    <row r="4" spans="1:12" x14ac:dyDescent="0.3">
      <c r="A4" t="s">
        <v>17</v>
      </c>
      <c r="B4" t="s">
        <v>11</v>
      </c>
      <c r="C4">
        <v>7.2</v>
      </c>
      <c r="D4">
        <v>1</v>
      </c>
      <c r="E4">
        <v>3</v>
      </c>
      <c r="F4" t="s">
        <v>18</v>
      </c>
      <c r="G4" t="s">
        <v>13</v>
      </c>
      <c r="H4" s="3">
        <v>5.5</v>
      </c>
      <c r="I4" t="s">
        <v>19</v>
      </c>
      <c r="J4">
        <v>1</v>
      </c>
      <c r="K4" t="str">
        <f t="shared" si="0"/>
        <v>Good</v>
      </c>
      <c r="L4" t="str">
        <f t="shared" si="1"/>
        <v>One Internship</v>
      </c>
    </row>
    <row r="5" spans="1:12" x14ac:dyDescent="0.3">
      <c r="A5" t="s">
        <v>20</v>
      </c>
      <c r="B5" t="s">
        <v>11</v>
      </c>
      <c r="C5">
        <v>6.5</v>
      </c>
      <c r="D5">
        <v>0</v>
      </c>
      <c r="E5">
        <v>2</v>
      </c>
      <c r="F5" t="s">
        <v>21</v>
      </c>
      <c r="G5" t="s">
        <v>22</v>
      </c>
      <c r="H5" s="3">
        <v>0</v>
      </c>
      <c r="I5" t="s">
        <v>23</v>
      </c>
      <c r="J5">
        <v>0</v>
      </c>
      <c r="K5" t="str">
        <f t="shared" si="0"/>
        <v>Average</v>
      </c>
      <c r="L5" t="str">
        <f t="shared" si="1"/>
        <v>No Internship</v>
      </c>
    </row>
    <row r="6" spans="1:12" x14ac:dyDescent="0.3">
      <c r="A6" t="s">
        <v>24</v>
      </c>
      <c r="B6" t="s">
        <v>11</v>
      </c>
      <c r="C6">
        <v>8.9</v>
      </c>
      <c r="D6">
        <v>3</v>
      </c>
      <c r="E6">
        <v>6</v>
      </c>
      <c r="F6" t="s">
        <v>25</v>
      </c>
      <c r="G6" t="s">
        <v>13</v>
      </c>
      <c r="H6" s="3">
        <v>14.2</v>
      </c>
      <c r="I6" t="s">
        <v>14</v>
      </c>
      <c r="J6">
        <v>3</v>
      </c>
      <c r="K6" t="str">
        <f t="shared" si="0"/>
        <v>Excellent</v>
      </c>
      <c r="L6" t="str">
        <f t="shared" si="1"/>
        <v>Three or More</v>
      </c>
    </row>
    <row r="7" spans="1:12" x14ac:dyDescent="0.3">
      <c r="A7" t="s">
        <v>26</v>
      </c>
      <c r="B7" t="s">
        <v>11</v>
      </c>
      <c r="C7">
        <v>5.8</v>
      </c>
      <c r="D7">
        <v>0</v>
      </c>
      <c r="E7">
        <v>1</v>
      </c>
      <c r="F7" t="s">
        <v>27</v>
      </c>
      <c r="G7" t="s">
        <v>22</v>
      </c>
      <c r="H7" s="3">
        <v>0</v>
      </c>
      <c r="I7" t="s">
        <v>23</v>
      </c>
      <c r="J7">
        <v>0</v>
      </c>
      <c r="K7" t="str">
        <f t="shared" si="0"/>
        <v>Below Average</v>
      </c>
      <c r="L7" t="str">
        <f t="shared" si="1"/>
        <v>No Internship</v>
      </c>
    </row>
    <row r="8" spans="1:12" x14ac:dyDescent="0.3">
      <c r="A8" t="s">
        <v>28</v>
      </c>
      <c r="B8" t="s">
        <v>11</v>
      </c>
      <c r="C8">
        <v>7.8</v>
      </c>
      <c r="D8">
        <v>2</v>
      </c>
      <c r="E8">
        <v>4</v>
      </c>
      <c r="F8" t="s">
        <v>29</v>
      </c>
      <c r="G8" t="s">
        <v>13</v>
      </c>
      <c r="H8" s="3">
        <v>7.2</v>
      </c>
      <c r="I8" t="s">
        <v>19</v>
      </c>
      <c r="J8">
        <v>1</v>
      </c>
      <c r="K8" t="str">
        <f t="shared" si="0"/>
        <v>Good</v>
      </c>
      <c r="L8" t="str">
        <f t="shared" si="1"/>
        <v>Two Internships</v>
      </c>
    </row>
    <row r="9" spans="1:12" x14ac:dyDescent="0.3">
      <c r="A9" t="s">
        <v>30</v>
      </c>
      <c r="B9" t="s">
        <v>11</v>
      </c>
      <c r="C9">
        <v>9.4</v>
      </c>
      <c r="D9">
        <v>3</v>
      </c>
      <c r="E9">
        <v>7</v>
      </c>
      <c r="F9" t="s">
        <v>31</v>
      </c>
      <c r="G9" t="s">
        <v>13</v>
      </c>
      <c r="H9" s="3">
        <v>18.5</v>
      </c>
      <c r="I9" t="s">
        <v>14</v>
      </c>
      <c r="J9">
        <v>4</v>
      </c>
      <c r="K9" t="str">
        <f t="shared" si="0"/>
        <v>Outstanding</v>
      </c>
      <c r="L9" t="str">
        <f t="shared" si="1"/>
        <v>Three or More</v>
      </c>
    </row>
    <row r="10" spans="1:12" x14ac:dyDescent="0.3">
      <c r="A10" t="s">
        <v>32</v>
      </c>
      <c r="B10" t="s">
        <v>11</v>
      </c>
      <c r="C10">
        <v>6.1</v>
      </c>
      <c r="D10">
        <v>1</v>
      </c>
      <c r="E10">
        <v>2</v>
      </c>
      <c r="F10" t="s">
        <v>21</v>
      </c>
      <c r="G10" t="s">
        <v>22</v>
      </c>
      <c r="H10" s="3">
        <v>0</v>
      </c>
      <c r="I10" t="s">
        <v>23</v>
      </c>
      <c r="J10">
        <v>0</v>
      </c>
      <c r="K10" t="str">
        <f t="shared" si="0"/>
        <v>Average</v>
      </c>
      <c r="L10" t="str">
        <f t="shared" si="1"/>
        <v>One Internship</v>
      </c>
    </row>
    <row r="11" spans="1:12" x14ac:dyDescent="0.3">
      <c r="A11" t="s">
        <v>33</v>
      </c>
      <c r="B11" t="s">
        <v>11</v>
      </c>
      <c r="C11">
        <v>7.5</v>
      </c>
      <c r="D11">
        <v>1</v>
      </c>
      <c r="E11">
        <v>3</v>
      </c>
      <c r="F11" t="s">
        <v>34</v>
      </c>
      <c r="G11" t="s">
        <v>13</v>
      </c>
      <c r="H11" s="3">
        <v>6.8</v>
      </c>
      <c r="I11" t="s">
        <v>19</v>
      </c>
      <c r="J11">
        <v>1</v>
      </c>
      <c r="K11" t="str">
        <f t="shared" si="0"/>
        <v>Good</v>
      </c>
      <c r="L11" t="str">
        <f t="shared" si="1"/>
        <v>One Internship</v>
      </c>
    </row>
    <row r="12" spans="1:12" x14ac:dyDescent="0.3">
      <c r="A12" t="s">
        <v>35</v>
      </c>
      <c r="B12" t="s">
        <v>36</v>
      </c>
      <c r="C12">
        <v>8.1999999999999993</v>
      </c>
      <c r="D12">
        <v>2</v>
      </c>
      <c r="E12">
        <v>4</v>
      </c>
      <c r="F12" t="s">
        <v>37</v>
      </c>
      <c r="G12" t="s">
        <v>13</v>
      </c>
      <c r="H12" s="3">
        <v>7.5</v>
      </c>
      <c r="I12" t="s">
        <v>19</v>
      </c>
      <c r="J12">
        <v>2</v>
      </c>
      <c r="K12" t="str">
        <f t="shared" si="0"/>
        <v>Excellent</v>
      </c>
      <c r="L12" t="str">
        <f t="shared" si="1"/>
        <v>Two Internships</v>
      </c>
    </row>
    <row r="13" spans="1:12" x14ac:dyDescent="0.3">
      <c r="A13" t="s">
        <v>38</v>
      </c>
      <c r="B13" t="s">
        <v>36</v>
      </c>
      <c r="C13">
        <v>7.6</v>
      </c>
      <c r="D13">
        <v>1</v>
      </c>
      <c r="E13">
        <v>3</v>
      </c>
      <c r="F13" t="s">
        <v>39</v>
      </c>
      <c r="G13" t="s">
        <v>13</v>
      </c>
      <c r="H13" s="3">
        <v>5.2</v>
      </c>
      <c r="I13" t="s">
        <v>19</v>
      </c>
      <c r="J13">
        <v>1</v>
      </c>
      <c r="K13" t="str">
        <f t="shared" si="0"/>
        <v>Good</v>
      </c>
      <c r="L13" t="str">
        <f t="shared" si="1"/>
        <v>One Internship</v>
      </c>
    </row>
    <row r="14" spans="1:12" x14ac:dyDescent="0.3">
      <c r="A14" t="s">
        <v>40</v>
      </c>
      <c r="B14" t="s">
        <v>36</v>
      </c>
      <c r="C14">
        <v>6.3</v>
      </c>
      <c r="D14">
        <v>0</v>
      </c>
      <c r="E14">
        <v>2</v>
      </c>
      <c r="F14" t="s">
        <v>41</v>
      </c>
      <c r="G14" t="s">
        <v>22</v>
      </c>
      <c r="H14" s="3">
        <v>0</v>
      </c>
      <c r="I14" t="s">
        <v>23</v>
      </c>
      <c r="J14">
        <v>0</v>
      </c>
      <c r="K14" t="str">
        <f t="shared" si="0"/>
        <v>Average</v>
      </c>
      <c r="L14" t="str">
        <f t="shared" si="1"/>
        <v>No Internship</v>
      </c>
    </row>
    <row r="15" spans="1:12" x14ac:dyDescent="0.3">
      <c r="A15" t="s">
        <v>42</v>
      </c>
      <c r="B15" t="s">
        <v>36</v>
      </c>
      <c r="C15">
        <v>8.8000000000000007</v>
      </c>
      <c r="D15">
        <v>3</v>
      </c>
      <c r="E15">
        <v>5</v>
      </c>
      <c r="F15" t="s">
        <v>43</v>
      </c>
      <c r="G15" t="s">
        <v>13</v>
      </c>
      <c r="H15" s="3">
        <v>9.1999999999999993</v>
      </c>
      <c r="I15" t="s">
        <v>14</v>
      </c>
      <c r="J15">
        <v>2</v>
      </c>
      <c r="K15" t="str">
        <f t="shared" si="0"/>
        <v>Excellent</v>
      </c>
      <c r="L15" t="str">
        <f t="shared" si="1"/>
        <v>Three or More</v>
      </c>
    </row>
    <row r="16" spans="1:12" x14ac:dyDescent="0.3">
      <c r="A16" t="s">
        <v>44</v>
      </c>
      <c r="B16" t="s">
        <v>36</v>
      </c>
      <c r="C16">
        <v>5.9</v>
      </c>
      <c r="D16">
        <v>0</v>
      </c>
      <c r="E16">
        <v>1</v>
      </c>
      <c r="F16" t="s">
        <v>45</v>
      </c>
      <c r="G16" t="s">
        <v>22</v>
      </c>
      <c r="H16" s="3">
        <v>0</v>
      </c>
      <c r="I16" t="s">
        <v>23</v>
      </c>
      <c r="J16">
        <v>0</v>
      </c>
      <c r="K16" t="str">
        <f t="shared" si="0"/>
        <v>Below Average</v>
      </c>
      <c r="L16" t="str">
        <f t="shared" si="1"/>
        <v>No Internship</v>
      </c>
    </row>
    <row r="17" spans="1:12" x14ac:dyDescent="0.3">
      <c r="A17" t="s">
        <v>46</v>
      </c>
      <c r="B17" t="s">
        <v>36</v>
      </c>
      <c r="C17">
        <v>7.1</v>
      </c>
      <c r="D17">
        <v>1</v>
      </c>
      <c r="E17">
        <v>3</v>
      </c>
      <c r="F17" t="s">
        <v>47</v>
      </c>
      <c r="G17" t="s">
        <v>13</v>
      </c>
      <c r="H17" s="3">
        <v>5.8</v>
      </c>
      <c r="I17" t="s">
        <v>19</v>
      </c>
      <c r="J17">
        <v>1</v>
      </c>
      <c r="K17" t="str">
        <f t="shared" si="0"/>
        <v>Good</v>
      </c>
      <c r="L17" t="str">
        <f t="shared" si="1"/>
        <v>One Internship</v>
      </c>
    </row>
    <row r="18" spans="1:12" x14ac:dyDescent="0.3">
      <c r="A18" t="s">
        <v>48</v>
      </c>
      <c r="B18" t="s">
        <v>36</v>
      </c>
      <c r="C18">
        <v>9</v>
      </c>
      <c r="D18">
        <v>3</v>
      </c>
      <c r="E18">
        <v>5</v>
      </c>
      <c r="F18" t="s">
        <v>49</v>
      </c>
      <c r="G18" t="s">
        <v>13</v>
      </c>
      <c r="H18" s="3">
        <v>11.5</v>
      </c>
      <c r="I18" t="s">
        <v>14</v>
      </c>
      <c r="J18">
        <v>3</v>
      </c>
      <c r="K18" t="str">
        <f t="shared" si="0"/>
        <v>Outstanding</v>
      </c>
      <c r="L18" t="str">
        <f t="shared" si="1"/>
        <v>Three or More</v>
      </c>
    </row>
    <row r="19" spans="1:12" x14ac:dyDescent="0.3">
      <c r="A19" t="s">
        <v>50</v>
      </c>
      <c r="B19" t="s">
        <v>36</v>
      </c>
      <c r="C19">
        <v>6.8</v>
      </c>
      <c r="D19">
        <v>1</v>
      </c>
      <c r="E19">
        <v>2</v>
      </c>
      <c r="F19" t="s">
        <v>41</v>
      </c>
      <c r="G19" t="s">
        <v>22</v>
      </c>
      <c r="H19" s="3">
        <v>0</v>
      </c>
      <c r="I19" t="s">
        <v>23</v>
      </c>
      <c r="J19">
        <v>0</v>
      </c>
      <c r="K19" t="str">
        <f t="shared" si="0"/>
        <v>Average</v>
      </c>
      <c r="L19" t="str">
        <f t="shared" si="1"/>
        <v>One Internship</v>
      </c>
    </row>
    <row r="20" spans="1:12" x14ac:dyDescent="0.3">
      <c r="A20" t="s">
        <v>51</v>
      </c>
      <c r="B20" t="s">
        <v>36</v>
      </c>
      <c r="C20">
        <v>7.4</v>
      </c>
      <c r="D20">
        <v>2</v>
      </c>
      <c r="E20">
        <v>3</v>
      </c>
      <c r="F20" t="s">
        <v>52</v>
      </c>
      <c r="G20" t="s">
        <v>13</v>
      </c>
      <c r="H20" s="3">
        <v>6.1</v>
      </c>
      <c r="I20" t="s">
        <v>19</v>
      </c>
      <c r="J20">
        <v>1</v>
      </c>
      <c r="K20" t="str">
        <f t="shared" si="0"/>
        <v>Good</v>
      </c>
      <c r="L20" t="str">
        <f t="shared" si="1"/>
        <v>Two Internships</v>
      </c>
    </row>
    <row r="21" spans="1:12" x14ac:dyDescent="0.3">
      <c r="A21" t="s">
        <v>53</v>
      </c>
      <c r="B21" t="s">
        <v>36</v>
      </c>
      <c r="C21">
        <v>8.5</v>
      </c>
      <c r="D21">
        <v>2</v>
      </c>
      <c r="E21">
        <v>4</v>
      </c>
      <c r="F21" t="s">
        <v>54</v>
      </c>
      <c r="G21" t="s">
        <v>13</v>
      </c>
      <c r="H21" s="3">
        <v>8.8000000000000007</v>
      </c>
      <c r="I21" t="s">
        <v>14</v>
      </c>
      <c r="J21">
        <v>2</v>
      </c>
      <c r="K21" t="str">
        <f t="shared" si="0"/>
        <v>Excellent</v>
      </c>
      <c r="L21" t="str">
        <f t="shared" si="1"/>
        <v>Two Internships</v>
      </c>
    </row>
    <row r="22" spans="1:12" x14ac:dyDescent="0.3">
      <c r="A22" t="s">
        <v>55</v>
      </c>
      <c r="B22" t="s">
        <v>56</v>
      </c>
      <c r="C22">
        <v>7.8</v>
      </c>
      <c r="D22">
        <v>2</v>
      </c>
      <c r="E22">
        <v>3</v>
      </c>
      <c r="F22" t="s">
        <v>57</v>
      </c>
      <c r="G22" t="s">
        <v>13</v>
      </c>
      <c r="H22" s="3">
        <v>5.5</v>
      </c>
      <c r="I22" t="s">
        <v>19</v>
      </c>
      <c r="J22">
        <v>1</v>
      </c>
      <c r="K22" t="str">
        <f t="shared" si="0"/>
        <v>Good</v>
      </c>
      <c r="L22" t="str">
        <f t="shared" si="1"/>
        <v>Two Internships</v>
      </c>
    </row>
    <row r="23" spans="1:12" x14ac:dyDescent="0.3">
      <c r="A23" t="s">
        <v>58</v>
      </c>
      <c r="B23" t="s">
        <v>56</v>
      </c>
      <c r="C23">
        <v>6.4</v>
      </c>
      <c r="D23">
        <v>0</v>
      </c>
      <c r="E23">
        <v>2</v>
      </c>
      <c r="F23" t="s">
        <v>59</v>
      </c>
      <c r="G23" t="s">
        <v>22</v>
      </c>
      <c r="H23" s="3">
        <v>0</v>
      </c>
      <c r="I23" t="s">
        <v>23</v>
      </c>
      <c r="J23">
        <v>0</v>
      </c>
      <c r="K23" t="str">
        <f t="shared" si="0"/>
        <v>Average</v>
      </c>
      <c r="L23" t="str">
        <f t="shared" si="1"/>
        <v>No Internship</v>
      </c>
    </row>
    <row r="24" spans="1:12" x14ac:dyDescent="0.3">
      <c r="A24" t="s">
        <v>60</v>
      </c>
      <c r="B24" t="s">
        <v>56</v>
      </c>
      <c r="C24">
        <v>8.1</v>
      </c>
      <c r="D24">
        <v>2</v>
      </c>
      <c r="E24">
        <v>4</v>
      </c>
      <c r="F24" t="s">
        <v>61</v>
      </c>
      <c r="G24" t="s">
        <v>13</v>
      </c>
      <c r="H24" s="3">
        <v>6.8</v>
      </c>
      <c r="I24" t="s">
        <v>19</v>
      </c>
      <c r="J24">
        <v>2</v>
      </c>
      <c r="K24" t="str">
        <f t="shared" si="0"/>
        <v>Excellent</v>
      </c>
      <c r="L24" t="str">
        <f t="shared" si="1"/>
        <v>Two Internships</v>
      </c>
    </row>
    <row r="25" spans="1:12" x14ac:dyDescent="0.3">
      <c r="A25" t="s">
        <v>62</v>
      </c>
      <c r="B25" t="s">
        <v>56</v>
      </c>
      <c r="C25">
        <v>5.7</v>
      </c>
      <c r="D25">
        <v>0</v>
      </c>
      <c r="E25">
        <v>1</v>
      </c>
      <c r="F25" t="s">
        <v>63</v>
      </c>
      <c r="G25" t="s">
        <v>22</v>
      </c>
      <c r="H25" s="3">
        <v>0</v>
      </c>
      <c r="I25" t="s">
        <v>23</v>
      </c>
      <c r="J25">
        <v>0</v>
      </c>
      <c r="K25" t="str">
        <f t="shared" si="0"/>
        <v>Below Average</v>
      </c>
      <c r="L25" t="str">
        <f t="shared" si="1"/>
        <v>No Internship</v>
      </c>
    </row>
    <row r="26" spans="1:12" x14ac:dyDescent="0.3">
      <c r="A26" t="s">
        <v>64</v>
      </c>
      <c r="B26" t="s">
        <v>56</v>
      </c>
      <c r="C26">
        <v>7.2</v>
      </c>
      <c r="D26">
        <v>1</v>
      </c>
      <c r="E26">
        <v>3</v>
      </c>
      <c r="F26" t="s">
        <v>65</v>
      </c>
      <c r="G26" t="s">
        <v>13</v>
      </c>
      <c r="H26" s="3">
        <v>5.0999999999999996</v>
      </c>
      <c r="I26" t="s">
        <v>19</v>
      </c>
      <c r="J26">
        <v>1</v>
      </c>
      <c r="K26" t="str">
        <f t="shared" si="0"/>
        <v>Good</v>
      </c>
      <c r="L26" t="str">
        <f t="shared" si="1"/>
        <v>One Internship</v>
      </c>
    </row>
    <row r="27" spans="1:12" x14ac:dyDescent="0.3">
      <c r="A27" t="s">
        <v>66</v>
      </c>
      <c r="B27" t="s">
        <v>56</v>
      </c>
      <c r="C27">
        <v>8.6</v>
      </c>
      <c r="D27">
        <v>3</v>
      </c>
      <c r="E27">
        <v>4</v>
      </c>
      <c r="F27" t="s">
        <v>67</v>
      </c>
      <c r="G27" t="s">
        <v>13</v>
      </c>
      <c r="H27" s="3">
        <v>8.1999999999999993</v>
      </c>
      <c r="I27" t="s">
        <v>14</v>
      </c>
      <c r="J27">
        <v>2</v>
      </c>
      <c r="K27" t="str">
        <f t="shared" si="0"/>
        <v>Excellent</v>
      </c>
      <c r="L27" t="str">
        <f t="shared" si="1"/>
        <v>Three or More</v>
      </c>
    </row>
    <row r="28" spans="1:12" x14ac:dyDescent="0.3">
      <c r="A28" t="s">
        <v>68</v>
      </c>
      <c r="B28" t="s">
        <v>56</v>
      </c>
      <c r="C28">
        <v>6.9</v>
      </c>
      <c r="D28">
        <v>1</v>
      </c>
      <c r="E28">
        <v>2</v>
      </c>
      <c r="F28" t="s">
        <v>59</v>
      </c>
      <c r="G28" t="s">
        <v>22</v>
      </c>
      <c r="H28" s="3">
        <v>0</v>
      </c>
      <c r="I28" t="s">
        <v>23</v>
      </c>
      <c r="J28">
        <v>0</v>
      </c>
      <c r="K28" t="str">
        <f t="shared" si="0"/>
        <v>Average</v>
      </c>
      <c r="L28" t="str">
        <f t="shared" si="1"/>
        <v>One Internship</v>
      </c>
    </row>
    <row r="29" spans="1:12" x14ac:dyDescent="0.3">
      <c r="A29" t="s">
        <v>69</v>
      </c>
      <c r="B29" t="s">
        <v>56</v>
      </c>
      <c r="C29">
        <v>9.1999999999999993</v>
      </c>
      <c r="D29">
        <v>3</v>
      </c>
      <c r="E29">
        <v>5</v>
      </c>
      <c r="F29" t="s">
        <v>70</v>
      </c>
      <c r="G29" t="s">
        <v>13</v>
      </c>
      <c r="H29" s="3">
        <v>10.5</v>
      </c>
      <c r="I29" t="s">
        <v>14</v>
      </c>
      <c r="J29">
        <v>3</v>
      </c>
      <c r="K29" t="str">
        <f t="shared" si="0"/>
        <v>Outstanding</v>
      </c>
      <c r="L29" t="str">
        <f t="shared" si="1"/>
        <v>Three or More</v>
      </c>
    </row>
    <row r="30" spans="1:12" x14ac:dyDescent="0.3">
      <c r="A30" t="s">
        <v>71</v>
      </c>
      <c r="B30" t="s">
        <v>56</v>
      </c>
      <c r="C30">
        <v>7</v>
      </c>
      <c r="D30">
        <v>1</v>
      </c>
      <c r="E30">
        <v>2</v>
      </c>
      <c r="F30" t="s">
        <v>72</v>
      </c>
      <c r="G30" t="s">
        <v>13</v>
      </c>
      <c r="H30" s="3">
        <v>4.8</v>
      </c>
      <c r="I30" t="s">
        <v>73</v>
      </c>
      <c r="J30">
        <v>1</v>
      </c>
      <c r="K30" t="str">
        <f t="shared" si="0"/>
        <v>Good</v>
      </c>
      <c r="L30" t="str">
        <f t="shared" si="1"/>
        <v>One Internship</v>
      </c>
    </row>
    <row r="31" spans="1:12" x14ac:dyDescent="0.3">
      <c r="A31" t="s">
        <v>74</v>
      </c>
      <c r="B31" t="s">
        <v>56</v>
      </c>
      <c r="C31">
        <v>6.2</v>
      </c>
      <c r="D31">
        <v>0</v>
      </c>
      <c r="E31">
        <v>1</v>
      </c>
      <c r="F31" t="s">
        <v>63</v>
      </c>
      <c r="G31" t="s">
        <v>22</v>
      </c>
      <c r="H31" s="3">
        <v>0</v>
      </c>
      <c r="I31" t="s">
        <v>23</v>
      </c>
      <c r="J31">
        <v>0</v>
      </c>
      <c r="K31" t="str">
        <f t="shared" si="0"/>
        <v>Average</v>
      </c>
      <c r="L31" t="str">
        <f t="shared" si="1"/>
        <v>No Internship</v>
      </c>
    </row>
    <row r="32" spans="1:12" x14ac:dyDescent="0.3">
      <c r="A32" t="s">
        <v>75</v>
      </c>
      <c r="B32" t="s">
        <v>76</v>
      </c>
      <c r="C32">
        <v>8.4</v>
      </c>
      <c r="D32">
        <v>2</v>
      </c>
      <c r="E32">
        <v>4</v>
      </c>
      <c r="F32" t="s">
        <v>77</v>
      </c>
      <c r="G32" t="s">
        <v>13</v>
      </c>
      <c r="H32" s="3">
        <v>9.5</v>
      </c>
      <c r="I32" t="s">
        <v>14</v>
      </c>
      <c r="J32">
        <v>2</v>
      </c>
      <c r="K32" t="str">
        <f t="shared" si="0"/>
        <v>Excellent</v>
      </c>
      <c r="L32" t="str">
        <f t="shared" si="1"/>
        <v>Two Internships</v>
      </c>
    </row>
    <row r="33" spans="1:12" x14ac:dyDescent="0.3">
      <c r="A33" t="s">
        <v>78</v>
      </c>
      <c r="B33" t="s">
        <v>76</v>
      </c>
      <c r="C33">
        <v>7.6</v>
      </c>
      <c r="D33">
        <v>1</v>
      </c>
      <c r="E33">
        <v>3</v>
      </c>
      <c r="F33" t="s">
        <v>79</v>
      </c>
      <c r="G33" t="s">
        <v>13</v>
      </c>
      <c r="H33" s="3">
        <v>7.2</v>
      </c>
      <c r="I33" t="s">
        <v>19</v>
      </c>
      <c r="J33">
        <v>1</v>
      </c>
      <c r="K33" t="str">
        <f t="shared" si="0"/>
        <v>Good</v>
      </c>
      <c r="L33" t="str">
        <f t="shared" si="1"/>
        <v>One Internship</v>
      </c>
    </row>
    <row r="34" spans="1:12" x14ac:dyDescent="0.3">
      <c r="A34" t="s">
        <v>80</v>
      </c>
      <c r="B34" t="s">
        <v>76</v>
      </c>
      <c r="C34">
        <v>6.8</v>
      </c>
      <c r="D34">
        <v>0</v>
      </c>
      <c r="E34">
        <v>2</v>
      </c>
      <c r="F34" t="s">
        <v>81</v>
      </c>
      <c r="G34" t="s">
        <v>22</v>
      </c>
      <c r="H34" s="3">
        <v>0</v>
      </c>
      <c r="I34" t="s">
        <v>23</v>
      </c>
      <c r="J34">
        <v>0</v>
      </c>
      <c r="K34" t="str">
        <f t="shared" si="0"/>
        <v>Average</v>
      </c>
      <c r="L34" t="str">
        <f t="shared" si="1"/>
        <v>No Internship</v>
      </c>
    </row>
    <row r="35" spans="1:12" x14ac:dyDescent="0.3">
      <c r="A35" t="s">
        <v>82</v>
      </c>
      <c r="B35" t="s">
        <v>76</v>
      </c>
      <c r="C35">
        <v>8.9</v>
      </c>
      <c r="D35">
        <v>3</v>
      </c>
      <c r="E35">
        <v>5</v>
      </c>
      <c r="F35" t="s">
        <v>83</v>
      </c>
      <c r="G35" t="s">
        <v>13</v>
      </c>
      <c r="H35" s="3">
        <v>12</v>
      </c>
      <c r="I35" t="s">
        <v>14</v>
      </c>
      <c r="J35">
        <v>3</v>
      </c>
      <c r="K35" t="str">
        <f t="shared" si="0"/>
        <v>Excellent</v>
      </c>
      <c r="L35" t="str">
        <f t="shared" si="1"/>
        <v>Three or More</v>
      </c>
    </row>
    <row r="36" spans="1:12" x14ac:dyDescent="0.3">
      <c r="A36" t="s">
        <v>84</v>
      </c>
      <c r="B36" t="s">
        <v>76</v>
      </c>
      <c r="C36">
        <v>7.1</v>
      </c>
      <c r="D36">
        <v>1</v>
      </c>
      <c r="E36">
        <v>3</v>
      </c>
      <c r="F36" t="s">
        <v>85</v>
      </c>
      <c r="G36" t="s">
        <v>13</v>
      </c>
      <c r="H36" s="3">
        <v>6.5</v>
      </c>
      <c r="I36" t="s">
        <v>19</v>
      </c>
      <c r="J36">
        <v>1</v>
      </c>
      <c r="K36" t="str">
        <f t="shared" si="0"/>
        <v>Good</v>
      </c>
      <c r="L36" t="str">
        <f t="shared" si="1"/>
        <v>One Internship</v>
      </c>
    </row>
    <row r="37" spans="1:12" x14ac:dyDescent="0.3">
      <c r="A37" t="s">
        <v>86</v>
      </c>
      <c r="B37" t="s">
        <v>76</v>
      </c>
      <c r="C37">
        <v>9.1</v>
      </c>
      <c r="D37">
        <v>3</v>
      </c>
      <c r="E37">
        <v>6</v>
      </c>
      <c r="F37" t="s">
        <v>87</v>
      </c>
      <c r="G37" t="s">
        <v>13</v>
      </c>
      <c r="H37" s="3">
        <v>15</v>
      </c>
      <c r="I37" t="s">
        <v>14</v>
      </c>
      <c r="J37">
        <v>3</v>
      </c>
      <c r="K37" t="str">
        <f t="shared" si="0"/>
        <v>Outstanding</v>
      </c>
      <c r="L37" t="str">
        <f t="shared" si="1"/>
        <v>Three or More</v>
      </c>
    </row>
    <row r="38" spans="1:12" x14ac:dyDescent="0.3">
      <c r="A38" t="s">
        <v>88</v>
      </c>
      <c r="B38" t="s">
        <v>76</v>
      </c>
      <c r="C38">
        <v>6.5</v>
      </c>
      <c r="D38">
        <v>0</v>
      </c>
      <c r="E38">
        <v>2</v>
      </c>
      <c r="F38" t="s">
        <v>81</v>
      </c>
      <c r="G38" t="s">
        <v>22</v>
      </c>
      <c r="H38" s="3">
        <v>0</v>
      </c>
      <c r="I38" t="s">
        <v>23</v>
      </c>
      <c r="J38">
        <v>0</v>
      </c>
      <c r="K38" t="str">
        <f t="shared" si="0"/>
        <v>Average</v>
      </c>
      <c r="L38" t="str">
        <f t="shared" si="1"/>
        <v>No Internship</v>
      </c>
    </row>
    <row r="39" spans="1:12" x14ac:dyDescent="0.3">
      <c r="A39" t="s">
        <v>89</v>
      </c>
      <c r="B39" t="s">
        <v>76</v>
      </c>
      <c r="C39">
        <v>7.8</v>
      </c>
      <c r="D39">
        <v>2</v>
      </c>
      <c r="E39">
        <v>4</v>
      </c>
      <c r="F39" t="s">
        <v>90</v>
      </c>
      <c r="G39" t="s">
        <v>13</v>
      </c>
      <c r="H39" s="3">
        <v>8.8000000000000007</v>
      </c>
      <c r="I39" t="s">
        <v>19</v>
      </c>
      <c r="J39">
        <v>2</v>
      </c>
      <c r="K39" t="str">
        <f t="shared" si="0"/>
        <v>Good</v>
      </c>
      <c r="L39" t="str">
        <f t="shared" si="1"/>
        <v>Two Internships</v>
      </c>
    </row>
    <row r="40" spans="1:12" x14ac:dyDescent="0.3">
      <c r="A40" t="s">
        <v>91</v>
      </c>
      <c r="B40" t="s">
        <v>76</v>
      </c>
      <c r="C40">
        <v>5.9</v>
      </c>
      <c r="D40">
        <v>0</v>
      </c>
      <c r="E40">
        <v>1</v>
      </c>
      <c r="F40" t="s">
        <v>92</v>
      </c>
      <c r="G40" t="s">
        <v>22</v>
      </c>
      <c r="H40" s="3">
        <v>0</v>
      </c>
      <c r="I40" t="s">
        <v>23</v>
      </c>
      <c r="J40">
        <v>0</v>
      </c>
      <c r="K40" t="str">
        <f t="shared" si="0"/>
        <v>Below Average</v>
      </c>
      <c r="L40" t="str">
        <f t="shared" si="1"/>
        <v>No Internship</v>
      </c>
    </row>
    <row r="41" spans="1:12" x14ac:dyDescent="0.3">
      <c r="A41" t="s">
        <v>93</v>
      </c>
      <c r="B41" t="s">
        <v>76</v>
      </c>
      <c r="C41">
        <v>8.1999999999999993</v>
      </c>
      <c r="D41">
        <v>2</v>
      </c>
      <c r="E41">
        <v>4</v>
      </c>
      <c r="F41" t="s">
        <v>94</v>
      </c>
      <c r="G41" t="s">
        <v>13</v>
      </c>
      <c r="H41" s="3">
        <v>10.199999999999999</v>
      </c>
      <c r="I41" t="s">
        <v>14</v>
      </c>
      <c r="J41">
        <v>2</v>
      </c>
      <c r="K41" t="str">
        <f t="shared" si="0"/>
        <v>Excellent</v>
      </c>
      <c r="L41" t="str">
        <f t="shared" si="1"/>
        <v>Two Internships</v>
      </c>
    </row>
    <row r="42" spans="1:12" x14ac:dyDescent="0.3">
      <c r="A42" t="s">
        <v>95</v>
      </c>
      <c r="B42" t="s">
        <v>96</v>
      </c>
      <c r="C42">
        <v>7.5</v>
      </c>
      <c r="D42">
        <v>1</v>
      </c>
      <c r="E42">
        <v>3</v>
      </c>
      <c r="F42" t="s">
        <v>97</v>
      </c>
      <c r="G42" t="s">
        <v>13</v>
      </c>
      <c r="H42" s="3">
        <v>4.5</v>
      </c>
      <c r="I42" t="s">
        <v>73</v>
      </c>
      <c r="J42">
        <v>1</v>
      </c>
      <c r="K42" t="str">
        <f t="shared" si="0"/>
        <v>Good</v>
      </c>
      <c r="L42" t="str">
        <f t="shared" si="1"/>
        <v>One Internship</v>
      </c>
    </row>
    <row r="43" spans="1:12" x14ac:dyDescent="0.3">
      <c r="A43" t="s">
        <v>98</v>
      </c>
      <c r="B43" t="s">
        <v>96</v>
      </c>
      <c r="C43">
        <v>6.3</v>
      </c>
      <c r="D43">
        <v>0</v>
      </c>
      <c r="E43">
        <v>2</v>
      </c>
      <c r="F43" t="s">
        <v>99</v>
      </c>
      <c r="G43" t="s">
        <v>22</v>
      </c>
      <c r="H43" s="3">
        <v>0</v>
      </c>
      <c r="I43" t="s">
        <v>23</v>
      </c>
      <c r="J43">
        <v>0</v>
      </c>
      <c r="K43" t="str">
        <f t="shared" si="0"/>
        <v>Average</v>
      </c>
      <c r="L43" t="str">
        <f t="shared" si="1"/>
        <v>No Internship</v>
      </c>
    </row>
    <row r="44" spans="1:12" x14ac:dyDescent="0.3">
      <c r="A44" t="s">
        <v>100</v>
      </c>
      <c r="B44" t="s">
        <v>96</v>
      </c>
      <c r="C44">
        <v>8</v>
      </c>
      <c r="D44">
        <v>2</v>
      </c>
      <c r="E44">
        <v>4</v>
      </c>
      <c r="F44" t="s">
        <v>101</v>
      </c>
      <c r="G44" t="s">
        <v>13</v>
      </c>
      <c r="H44" s="3">
        <v>6.2</v>
      </c>
      <c r="I44" t="s">
        <v>19</v>
      </c>
      <c r="J44">
        <v>2</v>
      </c>
      <c r="K44" t="str">
        <f t="shared" si="0"/>
        <v>Excellent</v>
      </c>
      <c r="L44" t="str">
        <f t="shared" si="1"/>
        <v>Two Internships</v>
      </c>
    </row>
    <row r="45" spans="1:12" x14ac:dyDescent="0.3">
      <c r="A45" t="s">
        <v>102</v>
      </c>
      <c r="B45" t="s">
        <v>96</v>
      </c>
      <c r="C45">
        <v>5.8</v>
      </c>
      <c r="D45">
        <v>0</v>
      </c>
      <c r="E45">
        <v>1</v>
      </c>
      <c r="F45" t="s">
        <v>63</v>
      </c>
      <c r="G45" t="s">
        <v>22</v>
      </c>
      <c r="H45" s="3">
        <v>0</v>
      </c>
      <c r="I45" t="s">
        <v>23</v>
      </c>
      <c r="J45">
        <v>0</v>
      </c>
      <c r="K45" t="str">
        <f t="shared" si="0"/>
        <v>Below Average</v>
      </c>
      <c r="L45" t="str">
        <f t="shared" si="1"/>
        <v>No Internship</v>
      </c>
    </row>
    <row r="46" spans="1:12" x14ac:dyDescent="0.3">
      <c r="A46" t="s">
        <v>103</v>
      </c>
      <c r="B46" t="s">
        <v>96</v>
      </c>
      <c r="C46">
        <v>7.2</v>
      </c>
      <c r="D46">
        <v>1</v>
      </c>
      <c r="E46">
        <v>3</v>
      </c>
      <c r="F46" t="s">
        <v>104</v>
      </c>
      <c r="G46" t="s">
        <v>13</v>
      </c>
      <c r="H46" s="3">
        <v>4.8</v>
      </c>
      <c r="I46" t="s">
        <v>73</v>
      </c>
      <c r="J46">
        <v>1</v>
      </c>
      <c r="K46" t="str">
        <f t="shared" si="0"/>
        <v>Good</v>
      </c>
      <c r="L46" t="str">
        <f t="shared" si="1"/>
        <v>One Internship</v>
      </c>
    </row>
    <row r="47" spans="1:12" x14ac:dyDescent="0.3">
      <c r="A47" t="s">
        <v>105</v>
      </c>
      <c r="B47" t="s">
        <v>96</v>
      </c>
      <c r="C47">
        <v>8.5</v>
      </c>
      <c r="D47">
        <v>3</v>
      </c>
      <c r="E47">
        <v>4</v>
      </c>
      <c r="F47" t="s">
        <v>106</v>
      </c>
      <c r="G47" t="s">
        <v>13</v>
      </c>
      <c r="H47" s="3">
        <v>7.5</v>
      </c>
      <c r="I47" t="s">
        <v>19</v>
      </c>
      <c r="J47">
        <v>2</v>
      </c>
      <c r="K47" t="str">
        <f t="shared" si="0"/>
        <v>Excellent</v>
      </c>
      <c r="L47" t="str">
        <f t="shared" si="1"/>
        <v>Three or More</v>
      </c>
    </row>
    <row r="48" spans="1:12" x14ac:dyDescent="0.3">
      <c r="A48" t="s">
        <v>107</v>
      </c>
      <c r="B48" t="s">
        <v>96</v>
      </c>
      <c r="C48">
        <v>6.7</v>
      </c>
      <c r="D48">
        <v>0</v>
      </c>
      <c r="E48">
        <v>2</v>
      </c>
      <c r="F48" t="s">
        <v>99</v>
      </c>
      <c r="G48" t="s">
        <v>22</v>
      </c>
      <c r="H48" s="3">
        <v>0</v>
      </c>
      <c r="I48" t="s">
        <v>23</v>
      </c>
      <c r="J48">
        <v>0</v>
      </c>
      <c r="K48" t="str">
        <f t="shared" si="0"/>
        <v>Average</v>
      </c>
      <c r="L48" t="str">
        <f t="shared" si="1"/>
        <v>No Internship</v>
      </c>
    </row>
    <row r="49" spans="1:12" x14ac:dyDescent="0.3">
      <c r="A49" t="s">
        <v>108</v>
      </c>
      <c r="B49" t="s">
        <v>96</v>
      </c>
      <c r="C49">
        <v>9</v>
      </c>
      <c r="D49">
        <v>3</v>
      </c>
      <c r="E49">
        <v>5</v>
      </c>
      <c r="F49" t="s">
        <v>109</v>
      </c>
      <c r="G49" t="s">
        <v>13</v>
      </c>
      <c r="H49" s="3">
        <v>9</v>
      </c>
      <c r="I49" t="s">
        <v>14</v>
      </c>
      <c r="J49">
        <v>2</v>
      </c>
      <c r="K49" t="str">
        <f t="shared" si="0"/>
        <v>Outstanding</v>
      </c>
      <c r="L49" t="str">
        <f t="shared" si="1"/>
        <v>Three or More</v>
      </c>
    </row>
    <row r="50" spans="1:12" x14ac:dyDescent="0.3">
      <c r="A50" t="s">
        <v>110</v>
      </c>
      <c r="B50" t="s">
        <v>96</v>
      </c>
      <c r="C50">
        <v>7</v>
      </c>
      <c r="D50">
        <v>1</v>
      </c>
      <c r="E50">
        <v>2</v>
      </c>
      <c r="F50" t="s">
        <v>111</v>
      </c>
      <c r="G50" t="s">
        <v>13</v>
      </c>
      <c r="H50" s="3">
        <v>4.2</v>
      </c>
      <c r="I50" t="s">
        <v>73</v>
      </c>
      <c r="J50">
        <v>1</v>
      </c>
      <c r="K50" t="str">
        <f t="shared" si="0"/>
        <v>Good</v>
      </c>
      <c r="L50" t="str">
        <f t="shared" si="1"/>
        <v>One Internship</v>
      </c>
    </row>
    <row r="51" spans="1:12" x14ac:dyDescent="0.3">
      <c r="A51" t="s">
        <v>112</v>
      </c>
      <c r="B51" t="s">
        <v>96</v>
      </c>
      <c r="C51">
        <v>6.1</v>
      </c>
      <c r="D51">
        <v>0</v>
      </c>
      <c r="E51">
        <v>1</v>
      </c>
      <c r="F51" t="s">
        <v>63</v>
      </c>
      <c r="G51" t="s">
        <v>22</v>
      </c>
      <c r="H51" s="3">
        <v>0</v>
      </c>
      <c r="I51" t="s">
        <v>23</v>
      </c>
      <c r="J51">
        <v>0</v>
      </c>
      <c r="K51" t="str">
        <f t="shared" si="0"/>
        <v>Average</v>
      </c>
      <c r="L51" t="str">
        <f t="shared" si="1"/>
        <v>No Internship</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39383-A57B-4D8C-8824-D81705F076CF}">
  <sheetPr>
    <tabColor rgb="FF317738"/>
  </sheetPr>
  <dimension ref="B2:L71"/>
  <sheetViews>
    <sheetView showGridLines="0" tabSelected="1" zoomScale="102" zoomScaleNormal="100" workbookViewId="0">
      <selection activeCell="D73" sqref="D73"/>
    </sheetView>
  </sheetViews>
  <sheetFormatPr defaultRowHeight="14.4" x14ac:dyDescent="0.3"/>
  <cols>
    <col min="2" max="2" width="27.44140625" bestFit="1" customWidth="1"/>
    <col min="3" max="3" width="21.88671875" bestFit="1" customWidth="1"/>
    <col min="4" max="4" width="18.77734375" bestFit="1" customWidth="1"/>
  </cols>
  <sheetData>
    <row r="2" spans="2:12" x14ac:dyDescent="0.3">
      <c r="B2" s="29" t="s">
        <v>157</v>
      </c>
      <c r="C2" s="30"/>
      <c r="D2" s="30"/>
      <c r="E2" s="30"/>
      <c r="F2" s="30"/>
      <c r="G2" s="30"/>
      <c r="H2" s="30"/>
      <c r="I2" s="30"/>
      <c r="J2" s="30"/>
      <c r="K2" s="30"/>
      <c r="L2" s="30"/>
    </row>
    <row r="3" spans="2:12" x14ac:dyDescent="0.3">
      <c r="B3" s="30"/>
      <c r="C3" s="30"/>
      <c r="D3" s="30"/>
      <c r="E3" s="30"/>
      <c r="F3" s="30"/>
      <c r="G3" s="30"/>
      <c r="H3" s="30"/>
      <c r="I3" s="30"/>
      <c r="J3" s="30"/>
      <c r="K3" s="30"/>
      <c r="L3" s="30"/>
    </row>
    <row r="4" spans="2:12" x14ac:dyDescent="0.3">
      <c r="B4" s="31" t="s">
        <v>158</v>
      </c>
      <c r="C4" s="31"/>
      <c r="D4" s="31"/>
      <c r="E4" s="31"/>
      <c r="F4" s="31"/>
      <c r="G4" s="31"/>
      <c r="H4" s="31"/>
      <c r="I4" s="31"/>
      <c r="J4" s="31"/>
      <c r="K4" s="31"/>
      <c r="L4" s="31"/>
    </row>
    <row r="6" spans="2:12" ht="18" x14ac:dyDescent="0.35">
      <c r="B6" s="32" t="s">
        <v>159</v>
      </c>
    </row>
    <row r="7" spans="2:12" x14ac:dyDescent="0.3">
      <c r="B7" s="47" t="s">
        <v>160</v>
      </c>
      <c r="C7" s="48"/>
      <c r="D7" s="48"/>
      <c r="E7" s="48"/>
      <c r="F7" s="48"/>
      <c r="G7" s="48"/>
      <c r="H7" s="48"/>
      <c r="I7" s="48"/>
      <c r="J7" s="48"/>
      <c r="K7" s="48"/>
      <c r="L7" s="48"/>
    </row>
    <row r="8" spans="2:12" x14ac:dyDescent="0.3">
      <c r="B8" s="48"/>
      <c r="C8" s="48"/>
      <c r="D8" s="48"/>
      <c r="E8" s="48"/>
      <c r="F8" s="48"/>
      <c r="G8" s="48"/>
      <c r="H8" s="48"/>
      <c r="I8" s="48"/>
      <c r="J8" s="48"/>
      <c r="K8" s="48"/>
      <c r="L8" s="48"/>
    </row>
    <row r="9" spans="2:12" x14ac:dyDescent="0.3">
      <c r="B9" s="48"/>
      <c r="C9" s="48"/>
      <c r="D9" s="48"/>
      <c r="E9" s="48"/>
      <c r="F9" s="48"/>
      <c r="G9" s="48"/>
      <c r="H9" s="48"/>
      <c r="I9" s="48"/>
      <c r="J9" s="48"/>
      <c r="K9" s="48"/>
      <c r="L9" s="48"/>
    </row>
    <row r="10" spans="2:12" x14ac:dyDescent="0.3">
      <c r="B10" s="48"/>
      <c r="C10" s="48"/>
      <c r="D10" s="48"/>
      <c r="E10" s="48"/>
      <c r="F10" s="48"/>
      <c r="G10" s="48"/>
      <c r="H10" s="48"/>
      <c r="I10" s="48"/>
      <c r="J10" s="48"/>
      <c r="K10" s="48"/>
      <c r="L10" s="48"/>
    </row>
    <row r="12" spans="2:12" ht="15.6" x14ac:dyDescent="0.3">
      <c r="B12" s="35" t="s">
        <v>161</v>
      </c>
      <c r="C12" s="34"/>
      <c r="D12" s="34"/>
      <c r="E12" s="34"/>
      <c r="F12" s="34"/>
      <c r="G12" s="34"/>
      <c r="H12" s="34"/>
      <c r="I12" s="34"/>
      <c r="J12" s="34"/>
      <c r="K12" s="34"/>
      <c r="L12" s="34"/>
    </row>
    <row r="14" spans="2:12" x14ac:dyDescent="0.3">
      <c r="B14" s="49" t="s">
        <v>162</v>
      </c>
      <c r="C14" s="50"/>
      <c r="D14" s="50"/>
      <c r="E14" s="50"/>
      <c r="F14" s="50"/>
      <c r="G14" s="50"/>
      <c r="H14" s="50"/>
      <c r="I14" s="50"/>
      <c r="J14" s="50"/>
      <c r="K14" s="50"/>
      <c r="L14" s="50"/>
    </row>
    <row r="15" spans="2:12" x14ac:dyDescent="0.3">
      <c r="B15" s="50"/>
      <c r="C15" s="50"/>
      <c r="D15" s="50"/>
      <c r="E15" s="50"/>
      <c r="F15" s="50"/>
      <c r="G15" s="50"/>
      <c r="H15" s="50"/>
      <c r="I15" s="50"/>
      <c r="J15" s="50"/>
      <c r="K15" s="50"/>
      <c r="L15" s="50"/>
    </row>
    <row r="16" spans="2:12" x14ac:dyDescent="0.3">
      <c r="B16" s="50"/>
      <c r="C16" s="50"/>
      <c r="D16" s="50"/>
      <c r="E16" s="50"/>
      <c r="F16" s="50"/>
      <c r="G16" s="50"/>
      <c r="H16" s="50"/>
      <c r="I16" s="50"/>
      <c r="J16" s="50"/>
      <c r="K16" s="50"/>
      <c r="L16" s="50"/>
    </row>
    <row r="17" spans="2:12" x14ac:dyDescent="0.3">
      <c r="B17" s="50"/>
      <c r="C17" s="50"/>
      <c r="D17" s="50"/>
      <c r="E17" s="50"/>
      <c r="F17" s="50"/>
      <c r="G17" s="50"/>
      <c r="H17" s="50"/>
      <c r="I17" s="50"/>
      <c r="J17" s="50"/>
      <c r="K17" s="50"/>
      <c r="L17" s="50"/>
    </row>
    <row r="18" spans="2:12" x14ac:dyDescent="0.3">
      <c r="B18" s="50"/>
      <c r="C18" s="50"/>
      <c r="D18" s="50"/>
      <c r="E18" s="50"/>
      <c r="F18" s="50"/>
      <c r="G18" s="50"/>
      <c r="H18" s="50"/>
      <c r="I18" s="50"/>
      <c r="J18" s="50"/>
      <c r="K18" s="50"/>
      <c r="L18" s="50"/>
    </row>
    <row r="20" spans="2:12" x14ac:dyDescent="0.3">
      <c r="B20" s="36" t="s">
        <v>163</v>
      </c>
    </row>
    <row r="21" spans="2:12" x14ac:dyDescent="0.3">
      <c r="B21" s="47" t="s">
        <v>164</v>
      </c>
      <c r="C21" s="48"/>
      <c r="D21" s="48"/>
      <c r="E21" s="48"/>
      <c r="F21" s="48"/>
      <c r="G21" s="48"/>
      <c r="H21" s="48"/>
      <c r="I21" s="48"/>
      <c r="J21" s="48"/>
      <c r="K21" s="48"/>
      <c r="L21" s="48"/>
    </row>
    <row r="22" spans="2:12" x14ac:dyDescent="0.3">
      <c r="B22" s="48"/>
      <c r="C22" s="48"/>
      <c r="D22" s="48"/>
      <c r="E22" s="48"/>
      <c r="F22" s="48"/>
      <c r="G22" s="48"/>
      <c r="H22" s="48"/>
      <c r="I22" s="48"/>
      <c r="J22" s="48"/>
      <c r="K22" s="48"/>
      <c r="L22" s="48"/>
    </row>
    <row r="24" spans="2:12" x14ac:dyDescent="0.3">
      <c r="B24" s="37" t="s">
        <v>165</v>
      </c>
      <c r="C24" s="37"/>
      <c r="D24" s="37"/>
      <c r="E24" s="37"/>
      <c r="F24" s="37"/>
      <c r="G24" s="37"/>
      <c r="H24" s="37"/>
      <c r="I24" s="37"/>
      <c r="J24" s="37"/>
      <c r="K24" s="37"/>
      <c r="L24" s="37"/>
    </row>
    <row r="26" spans="2:12" x14ac:dyDescent="0.3">
      <c r="B26" s="33" t="s">
        <v>166</v>
      </c>
      <c r="C26" s="28"/>
      <c r="D26" s="28"/>
      <c r="E26" s="28"/>
      <c r="F26" s="28"/>
      <c r="G26" s="28"/>
      <c r="H26" s="28"/>
      <c r="I26" s="28"/>
      <c r="J26" s="28"/>
      <c r="K26" s="28"/>
      <c r="L26" s="28"/>
    </row>
    <row r="27" spans="2:12" x14ac:dyDescent="0.3">
      <c r="B27" s="28"/>
      <c r="C27" s="28"/>
      <c r="D27" s="28"/>
      <c r="E27" s="28"/>
      <c r="F27" s="28"/>
      <c r="G27" s="28"/>
      <c r="H27" s="28"/>
      <c r="I27" s="28"/>
      <c r="J27" s="28"/>
      <c r="K27" s="28"/>
      <c r="L27" s="28"/>
    </row>
    <row r="28" spans="2:12" x14ac:dyDescent="0.3">
      <c r="B28" s="28"/>
      <c r="C28" s="28"/>
      <c r="D28" s="28"/>
      <c r="E28" s="28"/>
      <c r="F28" s="28"/>
      <c r="G28" s="28"/>
      <c r="H28" s="28"/>
      <c r="I28" s="28"/>
      <c r="J28" s="28"/>
      <c r="K28" s="28"/>
      <c r="L28" s="28"/>
    </row>
    <row r="29" spans="2:12" x14ac:dyDescent="0.3">
      <c r="B29" s="28"/>
      <c r="C29" s="28"/>
      <c r="D29" s="28"/>
      <c r="E29" s="28"/>
      <c r="F29" s="28"/>
      <c r="G29" s="28"/>
      <c r="H29" s="28"/>
      <c r="I29" s="28"/>
      <c r="J29" s="28"/>
      <c r="K29" s="28"/>
      <c r="L29" s="28"/>
    </row>
    <row r="31" spans="2:12" x14ac:dyDescent="0.3">
      <c r="B31" s="38" t="s">
        <v>169</v>
      </c>
      <c r="C31" s="38"/>
    </row>
    <row r="32" spans="2:12" x14ac:dyDescent="0.3">
      <c r="B32" s="47" t="s">
        <v>167</v>
      </c>
      <c r="C32" s="48"/>
      <c r="D32" s="48"/>
      <c r="E32" s="48"/>
      <c r="F32" s="48"/>
      <c r="G32" s="48"/>
      <c r="H32" s="48"/>
      <c r="I32" s="48"/>
      <c r="J32" s="48"/>
      <c r="K32" s="48"/>
      <c r="L32" s="48"/>
    </row>
    <row r="33" spans="2:12" x14ac:dyDescent="0.3">
      <c r="B33" s="48"/>
      <c r="C33" s="48"/>
      <c r="D33" s="48"/>
      <c r="E33" s="48"/>
      <c r="F33" s="48"/>
      <c r="G33" s="48"/>
      <c r="H33" s="48"/>
      <c r="I33" s="48"/>
      <c r="J33" s="48"/>
      <c r="K33" s="48"/>
      <c r="L33" s="48"/>
    </row>
    <row r="35" spans="2:12" x14ac:dyDescent="0.3">
      <c r="B35" s="37" t="s">
        <v>168</v>
      </c>
      <c r="C35" s="37"/>
      <c r="D35" s="37"/>
      <c r="E35" s="37"/>
      <c r="F35" s="37"/>
      <c r="G35" s="37"/>
      <c r="H35" s="37"/>
      <c r="I35" s="37"/>
      <c r="J35" s="37"/>
      <c r="K35" s="37"/>
      <c r="L35" s="37"/>
    </row>
    <row r="37" spans="2:12" x14ac:dyDescent="0.3">
      <c r="B37" s="33" t="s">
        <v>170</v>
      </c>
      <c r="C37" s="28"/>
      <c r="D37" s="28"/>
      <c r="E37" s="28"/>
      <c r="F37" s="28"/>
      <c r="G37" s="28"/>
      <c r="H37" s="28"/>
      <c r="I37" s="28"/>
      <c r="J37" s="28"/>
      <c r="K37" s="28"/>
      <c r="L37" s="28"/>
    </row>
    <row r="38" spans="2:12" x14ac:dyDescent="0.3">
      <c r="B38" s="28"/>
      <c r="C38" s="28"/>
      <c r="D38" s="28"/>
      <c r="E38" s="28"/>
      <c r="F38" s="28"/>
      <c r="G38" s="28"/>
      <c r="H38" s="28"/>
      <c r="I38" s="28"/>
      <c r="J38" s="28"/>
      <c r="K38" s="28"/>
      <c r="L38" s="28"/>
    </row>
    <row r="39" spans="2:12" x14ac:dyDescent="0.3">
      <c r="B39" s="28"/>
      <c r="C39" s="28"/>
      <c r="D39" s="28"/>
      <c r="E39" s="28"/>
      <c r="F39" s="28"/>
      <c r="G39" s="28"/>
      <c r="H39" s="28"/>
      <c r="I39" s="28"/>
      <c r="J39" s="28"/>
      <c r="K39" s="28"/>
      <c r="L39" s="28"/>
    </row>
    <row r="40" spans="2:12" x14ac:dyDescent="0.3">
      <c r="B40" s="28"/>
      <c r="C40" s="28"/>
      <c r="D40" s="28"/>
      <c r="E40" s="28"/>
      <c r="F40" s="28"/>
      <c r="G40" s="28"/>
      <c r="H40" s="28"/>
      <c r="I40" s="28"/>
      <c r="J40" s="28"/>
      <c r="K40" s="28"/>
      <c r="L40" s="28"/>
    </row>
    <row r="41" spans="2:12" x14ac:dyDescent="0.3">
      <c r="B41" t="s">
        <v>171</v>
      </c>
    </row>
    <row r="42" spans="2:12" x14ac:dyDescent="0.3">
      <c r="B42" s="33" t="s">
        <v>172</v>
      </c>
      <c r="C42" s="28"/>
      <c r="D42" s="28"/>
      <c r="E42" s="28"/>
      <c r="F42" s="28"/>
      <c r="G42" s="28"/>
      <c r="H42" s="28"/>
      <c r="I42" s="28"/>
      <c r="J42" s="28"/>
      <c r="K42" s="28"/>
      <c r="L42" s="28"/>
    </row>
    <row r="43" spans="2:12" x14ac:dyDescent="0.3">
      <c r="B43" s="28"/>
      <c r="C43" s="28"/>
      <c r="D43" s="28"/>
      <c r="E43" s="28"/>
      <c r="F43" s="28"/>
      <c r="G43" s="28"/>
      <c r="H43" s="28"/>
      <c r="I43" s="28"/>
      <c r="J43" s="28"/>
      <c r="K43" s="28"/>
      <c r="L43" s="28"/>
    </row>
    <row r="45" spans="2:12" x14ac:dyDescent="0.3">
      <c r="B45" s="37" t="s">
        <v>173</v>
      </c>
      <c r="C45" s="37"/>
      <c r="D45" s="37"/>
      <c r="E45" s="37"/>
      <c r="F45" s="37"/>
      <c r="G45" s="37"/>
      <c r="H45" s="37"/>
      <c r="I45" s="37"/>
      <c r="J45" s="37"/>
      <c r="K45" s="37"/>
      <c r="L45" s="37"/>
    </row>
    <row r="46" spans="2:12" x14ac:dyDescent="0.3">
      <c r="B46" s="33" t="s">
        <v>174</v>
      </c>
      <c r="C46" s="28"/>
      <c r="D46" s="28"/>
      <c r="E46" s="28"/>
      <c r="F46" s="28"/>
      <c r="G46" s="28"/>
      <c r="H46" s="28"/>
      <c r="I46" s="28"/>
      <c r="J46" s="28"/>
      <c r="K46" s="28"/>
      <c r="L46" s="28"/>
    </row>
    <row r="47" spans="2:12" x14ac:dyDescent="0.3">
      <c r="B47" s="28"/>
      <c r="C47" s="28"/>
      <c r="D47" s="28"/>
      <c r="E47" s="28"/>
      <c r="F47" s="28"/>
      <c r="G47" s="28"/>
      <c r="H47" s="28"/>
      <c r="I47" s="28"/>
      <c r="J47" s="28"/>
      <c r="K47" s="28"/>
      <c r="L47" s="28"/>
    </row>
    <row r="48" spans="2:12" x14ac:dyDescent="0.3">
      <c r="B48" s="28"/>
      <c r="C48" s="28"/>
      <c r="D48" s="28"/>
      <c r="E48" s="28"/>
      <c r="F48" s="28"/>
      <c r="G48" s="28"/>
      <c r="H48" s="28"/>
      <c r="I48" s="28"/>
      <c r="J48" s="28"/>
      <c r="K48" s="28"/>
      <c r="L48" s="28"/>
    </row>
    <row r="49" spans="2:12" x14ac:dyDescent="0.3">
      <c r="B49" s="28"/>
      <c r="C49" s="28"/>
      <c r="D49" s="28"/>
      <c r="E49" s="28"/>
      <c r="F49" s="28"/>
      <c r="G49" s="28"/>
      <c r="H49" s="28"/>
      <c r="I49" s="28"/>
      <c r="J49" s="28"/>
      <c r="K49" s="28"/>
      <c r="L49" s="28"/>
    </row>
    <row r="50" spans="2:12" x14ac:dyDescent="0.3">
      <c r="B50" s="28"/>
      <c r="C50" s="28"/>
      <c r="D50" s="28"/>
      <c r="E50" s="28"/>
      <c r="F50" s="28"/>
      <c r="G50" s="28"/>
      <c r="H50" s="28"/>
      <c r="I50" s="28"/>
      <c r="J50" s="28"/>
      <c r="K50" s="28"/>
      <c r="L50" s="28"/>
    </row>
    <row r="52" spans="2:12" x14ac:dyDescent="0.3">
      <c r="B52" s="38" t="s">
        <v>163</v>
      </c>
    </row>
    <row r="53" spans="2:12" x14ac:dyDescent="0.3">
      <c r="B53" s="33" t="s">
        <v>175</v>
      </c>
      <c r="C53" s="28"/>
      <c r="D53" s="28"/>
      <c r="E53" s="28"/>
      <c r="F53" s="28"/>
      <c r="G53" s="28"/>
      <c r="H53" s="28"/>
      <c r="I53" s="28"/>
      <c r="J53" s="28"/>
      <c r="K53" s="28"/>
      <c r="L53" s="28"/>
    </row>
    <row r="54" spans="2:12" x14ac:dyDescent="0.3">
      <c r="B54" s="28"/>
      <c r="C54" s="28"/>
      <c r="D54" s="28"/>
      <c r="E54" s="28"/>
      <c r="F54" s="28"/>
      <c r="G54" s="28"/>
      <c r="H54" s="28"/>
      <c r="I54" s="28"/>
      <c r="J54" s="28"/>
      <c r="K54" s="28"/>
      <c r="L54" s="28"/>
    </row>
    <row r="56" spans="2:12" x14ac:dyDescent="0.3">
      <c r="B56" s="39" t="s">
        <v>176</v>
      </c>
      <c r="C56" s="40"/>
      <c r="D56" s="40"/>
      <c r="E56" s="40"/>
      <c r="F56" s="40"/>
      <c r="G56" s="40"/>
      <c r="H56" s="40"/>
      <c r="I56" s="40"/>
      <c r="J56" s="40"/>
      <c r="K56" s="40"/>
      <c r="L56" s="40"/>
    </row>
    <row r="58" spans="2:12" x14ac:dyDescent="0.3">
      <c r="B58" s="41" t="s">
        <v>177</v>
      </c>
      <c r="C58" s="41" t="s">
        <v>178</v>
      </c>
      <c r="D58" s="41" t="s">
        <v>179</v>
      </c>
    </row>
    <row r="59" spans="2:12" x14ac:dyDescent="0.3">
      <c r="B59" s="42" t="s">
        <v>180</v>
      </c>
      <c r="C59" s="42" t="s">
        <v>181</v>
      </c>
      <c r="D59" s="42" t="s">
        <v>184</v>
      </c>
    </row>
    <row r="60" spans="2:12" x14ac:dyDescent="0.3">
      <c r="B60" s="42" t="s">
        <v>180</v>
      </c>
      <c r="C60" s="42" t="s">
        <v>183</v>
      </c>
      <c r="D60" s="42" t="s">
        <v>182</v>
      </c>
    </row>
    <row r="61" spans="2:12" x14ac:dyDescent="0.3">
      <c r="B61" s="43" t="s">
        <v>185</v>
      </c>
      <c r="C61" s="42" t="s">
        <v>186</v>
      </c>
      <c r="D61" s="42" t="s">
        <v>187</v>
      </c>
    </row>
    <row r="62" spans="2:12" x14ac:dyDescent="0.3">
      <c r="B62" s="43" t="s">
        <v>185</v>
      </c>
      <c r="C62" s="42" t="s">
        <v>188</v>
      </c>
      <c r="D62" s="42" t="s">
        <v>189</v>
      </c>
    </row>
    <row r="63" spans="2:12" x14ac:dyDescent="0.3">
      <c r="B63" s="42" t="s">
        <v>190</v>
      </c>
      <c r="C63" s="42" t="s">
        <v>191</v>
      </c>
      <c r="D63" s="42" t="s">
        <v>192</v>
      </c>
    </row>
    <row r="65" spans="2:12" ht="18" x14ac:dyDescent="0.35">
      <c r="B65" s="44" t="s">
        <v>193</v>
      </c>
    </row>
    <row r="66" spans="2:12" x14ac:dyDescent="0.3">
      <c r="B66" s="45" t="s">
        <v>194</v>
      </c>
      <c r="C66" s="46"/>
      <c r="D66" s="46"/>
      <c r="E66" s="46"/>
      <c r="F66" s="46"/>
      <c r="G66" s="46"/>
      <c r="H66" s="46"/>
      <c r="I66" s="46"/>
      <c r="J66" s="46"/>
      <c r="K66" s="46"/>
      <c r="L66" s="46"/>
    </row>
    <row r="67" spans="2:12" x14ac:dyDescent="0.3">
      <c r="B67" s="46"/>
      <c r="C67" s="46"/>
      <c r="D67" s="46"/>
      <c r="E67" s="46"/>
      <c r="F67" s="46"/>
      <c r="G67" s="46"/>
      <c r="H67" s="46"/>
      <c r="I67" s="46"/>
      <c r="J67" s="46"/>
      <c r="K67" s="46"/>
      <c r="L67" s="46"/>
    </row>
    <row r="68" spans="2:12" x14ac:dyDescent="0.3">
      <c r="B68" s="46"/>
      <c r="C68" s="46"/>
      <c r="D68" s="46"/>
      <c r="E68" s="46"/>
      <c r="F68" s="46"/>
      <c r="G68" s="46"/>
      <c r="H68" s="46"/>
      <c r="I68" s="46"/>
      <c r="J68" s="46"/>
      <c r="K68" s="46"/>
      <c r="L68" s="46"/>
    </row>
    <row r="69" spans="2:12" x14ac:dyDescent="0.3">
      <c r="B69" s="46"/>
      <c r="C69" s="46"/>
      <c r="D69" s="46"/>
      <c r="E69" s="46"/>
      <c r="F69" s="46"/>
      <c r="G69" s="46"/>
      <c r="H69" s="46"/>
      <c r="I69" s="46"/>
      <c r="J69" s="46"/>
      <c r="K69" s="46"/>
      <c r="L69" s="46"/>
    </row>
    <row r="71" spans="2:12" x14ac:dyDescent="0.3">
      <c r="B71" s="51" t="s">
        <v>195</v>
      </c>
      <c r="C71" s="52"/>
      <c r="D71" s="52"/>
      <c r="E71" s="52"/>
      <c r="F71" s="52"/>
      <c r="G71" s="52"/>
      <c r="H71" s="52"/>
      <c r="I71" s="52"/>
      <c r="J71" s="52"/>
      <c r="K71" s="52"/>
      <c r="L71" s="52"/>
    </row>
  </sheetData>
  <mergeCells count="18">
    <mergeCell ref="B66:L69"/>
    <mergeCell ref="B71:L71"/>
    <mergeCell ref="B37:L40"/>
    <mergeCell ref="B42:L43"/>
    <mergeCell ref="B45:L45"/>
    <mergeCell ref="B46:L50"/>
    <mergeCell ref="B53:L54"/>
    <mergeCell ref="B56:L56"/>
    <mergeCell ref="B14:L18"/>
    <mergeCell ref="B21:L22"/>
    <mergeCell ref="B24:L24"/>
    <mergeCell ref="B26:L29"/>
    <mergeCell ref="B32:L33"/>
    <mergeCell ref="B35:L35"/>
    <mergeCell ref="B2:L3"/>
    <mergeCell ref="B4:L4"/>
    <mergeCell ref="B7:L10"/>
    <mergeCell ref="B12:L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Analysis_CGPA</vt:lpstr>
      <vt:lpstr>Analysis_Skills</vt:lpstr>
      <vt:lpstr>Internship</vt:lpstr>
      <vt:lpstr>Branch</vt:lpstr>
      <vt:lpstr>Dashboard</vt:lpstr>
      <vt:lpstr>Cleaned_Data</vt:lpstr>
      <vt:lpstr>Key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kunchala srivenkat</dc:creator>
  <cp:lastModifiedBy>kunchala srivenkat</cp:lastModifiedBy>
  <dcterms:created xsi:type="dcterms:W3CDTF">2026-02-24T15:32:55Z</dcterms:created>
  <dcterms:modified xsi:type="dcterms:W3CDTF">2026-03-01T03:49:27Z</dcterms:modified>
</cp:coreProperties>
</file>